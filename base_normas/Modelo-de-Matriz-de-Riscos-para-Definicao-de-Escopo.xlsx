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icaro\Downloads\"/>
    </mc:Choice>
  </mc:AlternateContent>
  <xr:revisionPtr revIDLastSave="0" documentId="13_ncr:9_{F91B5BF6-45C9-425B-BACA-E8E6D343FEBD}" xr6:coauthVersionLast="47" xr6:coauthVersionMax="47" xr10:uidLastSave="{00000000-0000-0000-0000-000000000000}"/>
  <bookViews>
    <workbookView xWindow="-28920" yWindow="-120" windowWidth="29040" windowHeight="15720" tabRatio="795" activeTab="1" xr2:uid="{25E04E7E-102F-4218-9DE4-424C98F87D94}"/>
  </bookViews>
  <sheets>
    <sheet name="Identificação de Riscos" sheetId="11" r:id="rId1"/>
    <sheet name="MAR e Definição de escopo" sheetId="1" r:id="rId2"/>
    <sheet name="Tabelas" sheetId="2" state="hidden" r:id="rId3"/>
    <sheet name="Elementos MARA_TCU" sheetId="4" state="hidden" r:id="rId4"/>
    <sheet name="Nota Matriz de Risco" sheetId="3" state="hidden" r:id="rId5"/>
  </sheets>
  <definedNames>
    <definedName name="_xlnm._FilterDatabase" localSheetId="1" hidden="1">'MAR e Definição de escopo'!$C$4:$K$18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19" i="1"/>
  <c r="C12" i="1"/>
  <c r="C5" i="1"/>
  <c r="H28" i="1"/>
  <c r="K28" i="1"/>
  <c r="H27" i="1"/>
  <c r="K27" i="1"/>
  <c r="H21" i="1"/>
  <c r="K21" i="1"/>
  <c r="H20" i="1"/>
  <c r="K20" i="1"/>
  <c r="H14" i="1"/>
  <c r="K14" i="1"/>
  <c r="H13" i="1"/>
  <c r="K13" i="1"/>
  <c r="H7" i="1"/>
  <c r="H6" i="1"/>
  <c r="K6" i="1"/>
  <c r="J31" i="11"/>
  <c r="H31" i="11"/>
  <c r="I31" i="11"/>
  <c r="J30" i="11"/>
  <c r="H30" i="11"/>
  <c r="I30" i="11"/>
  <c r="J29" i="11"/>
  <c r="H29" i="11"/>
  <c r="I29" i="11"/>
  <c r="J28" i="11"/>
  <c r="H28" i="11"/>
  <c r="I28" i="11"/>
  <c r="J27" i="11"/>
  <c r="H27" i="11"/>
  <c r="I27" i="11"/>
  <c r="J26" i="11"/>
  <c r="H26" i="11"/>
  <c r="I26" i="11"/>
  <c r="J24" i="11"/>
  <c r="H24" i="11"/>
  <c r="I24" i="11"/>
  <c r="J23" i="11"/>
  <c r="H23" i="11"/>
  <c r="I23" i="11"/>
  <c r="J22" i="11"/>
  <c r="H22" i="11"/>
  <c r="I22" i="11"/>
  <c r="J21" i="11"/>
  <c r="H21" i="11"/>
  <c r="I21" i="11"/>
  <c r="J20" i="11"/>
  <c r="H20" i="11"/>
  <c r="I20" i="11"/>
  <c r="J19" i="11"/>
  <c r="H19" i="11"/>
  <c r="I19" i="11"/>
  <c r="J17" i="11"/>
  <c r="H17" i="11"/>
  <c r="I17" i="11"/>
  <c r="J16" i="11"/>
  <c r="H16" i="11"/>
  <c r="I16" i="11"/>
  <c r="J15" i="11"/>
  <c r="H15" i="11"/>
  <c r="I15" i="11"/>
  <c r="J14" i="11"/>
  <c r="H14" i="11"/>
  <c r="I14" i="11"/>
  <c r="J13" i="11"/>
  <c r="H13" i="11"/>
  <c r="I13" i="11"/>
  <c r="J12" i="11"/>
  <c r="H12" i="11"/>
  <c r="I12" i="11"/>
  <c r="H6" i="11"/>
  <c r="I6" i="11"/>
  <c r="J6" i="11"/>
  <c r="H7" i="11"/>
  <c r="I7" i="11"/>
  <c r="J7" i="11"/>
  <c r="H8" i="11"/>
  <c r="I8" i="11"/>
  <c r="J8" i="11"/>
  <c r="H9" i="11"/>
  <c r="I9" i="11"/>
  <c r="J9" i="11"/>
  <c r="H10" i="11"/>
  <c r="I10" i="11"/>
  <c r="J10" i="11"/>
  <c r="H31" i="1"/>
  <c r="K31" i="1"/>
  <c r="H30" i="1"/>
  <c r="K30" i="1"/>
  <c r="H29" i="1"/>
  <c r="K29" i="1"/>
  <c r="H26" i="1"/>
  <c r="K26" i="1"/>
  <c r="H24" i="1"/>
  <c r="K24" i="1"/>
  <c r="H23" i="1"/>
  <c r="K23" i="1"/>
  <c r="H22" i="1"/>
  <c r="K22" i="1"/>
  <c r="H19" i="1"/>
  <c r="K19" i="1"/>
  <c r="H15" i="1"/>
  <c r="K15" i="1"/>
  <c r="H8" i="1"/>
  <c r="K8" i="1"/>
  <c r="H16" i="1"/>
  <c r="K16" i="1"/>
  <c r="H9" i="1"/>
  <c r="K9" i="1"/>
  <c r="H5" i="1"/>
  <c r="K5" i="1"/>
  <c r="H10" i="1"/>
  <c r="K10" i="1"/>
  <c r="H5" i="11"/>
  <c r="I5" i="11"/>
  <c r="H17" i="1"/>
  <c r="K17" i="1"/>
  <c r="J5" i="11"/>
  <c r="K5" i="2"/>
  <c r="H12" i="1"/>
  <c r="K12" i="1"/>
  <c r="K7" i="2"/>
  <c r="N6" i="2"/>
  <c r="O6" i="2"/>
  <c r="K6" i="2"/>
  <c r="K25" i="4"/>
  <c r="D25" i="4"/>
  <c r="K24" i="4"/>
  <c r="K23" i="4"/>
  <c r="K22" i="4"/>
  <c r="D22" i="4"/>
  <c r="K21" i="4"/>
  <c r="D21" i="4"/>
  <c r="J16" i="4"/>
  <c r="N15" i="4"/>
  <c r="N16" i="4"/>
  <c r="W13" i="4"/>
  <c r="V13" i="4"/>
  <c r="U13" i="4"/>
  <c r="T13" i="4"/>
  <c r="S13" i="4"/>
  <c r="R13" i="4"/>
  <c r="W12" i="4"/>
  <c r="V12" i="4"/>
  <c r="U12" i="4"/>
  <c r="T12" i="4"/>
  <c r="S12" i="4"/>
  <c r="R12" i="4"/>
  <c r="W11" i="4"/>
  <c r="V11" i="4"/>
  <c r="U11" i="4"/>
  <c r="T11" i="4"/>
  <c r="S11" i="4"/>
  <c r="R11" i="4"/>
  <c r="W10" i="4"/>
  <c r="V10" i="4"/>
  <c r="U10" i="4"/>
  <c r="T10" i="4"/>
  <c r="S10" i="4"/>
  <c r="R10" i="4"/>
  <c r="E10" i="4"/>
  <c r="D10" i="4"/>
  <c r="C10" i="4"/>
  <c r="B10" i="4"/>
  <c r="A10" i="4"/>
  <c r="W9" i="4"/>
  <c r="V9" i="4"/>
  <c r="U9" i="4"/>
  <c r="T9" i="4"/>
  <c r="S9" i="4"/>
  <c r="R9" i="4"/>
  <c r="E9" i="4"/>
  <c r="D9" i="4"/>
  <c r="C9" i="4"/>
  <c r="B9" i="4"/>
  <c r="A9" i="4"/>
  <c r="E8" i="4"/>
  <c r="D8" i="4"/>
  <c r="C8" i="4"/>
  <c r="B8" i="4"/>
  <c r="A8" i="4"/>
  <c r="N7" i="4"/>
  <c r="M7" i="4"/>
  <c r="L7" i="4"/>
  <c r="K7" i="4"/>
  <c r="J7" i="4"/>
  <c r="E7" i="4"/>
  <c r="D7" i="4"/>
  <c r="C7" i="4"/>
  <c r="B7" i="4"/>
  <c r="A7" i="4"/>
  <c r="E6" i="4"/>
  <c r="D6" i="4"/>
  <c r="C6" i="4"/>
  <c r="B6" i="4"/>
  <c r="A6" i="4"/>
  <c r="O7" i="2"/>
  <c r="L7" i="2"/>
  <c r="M7" i="2"/>
  <c r="N7" i="2"/>
  <c r="L5" i="2"/>
  <c r="M5" i="2"/>
  <c r="N5" i="2"/>
  <c r="O5" i="2"/>
  <c r="K4" i="2"/>
  <c r="L4" i="2"/>
  <c r="M4" i="2"/>
  <c r="N4" i="2"/>
  <c r="O4" i="2"/>
  <c r="E8" i="3"/>
  <c r="G8" i="3"/>
  <c r="E16" i="3"/>
  <c r="G16" i="3"/>
  <c r="E7" i="3"/>
  <c r="G7" i="3"/>
  <c r="K7" i="1"/>
  <c r="M14" i="3" s="1"/>
  <c r="O14" i="3" s="1"/>
  <c r="K16" i="4"/>
  <c r="L16" i="4"/>
  <c r="M16" i="4"/>
  <c r="E10" i="3"/>
  <c r="G10" i="3"/>
  <c r="E17" i="3"/>
  <c r="G17" i="3"/>
  <c r="E6" i="3"/>
  <c r="G6" i="3"/>
  <c r="E11" i="3"/>
  <c r="G11" i="3"/>
  <c r="M22" i="3"/>
  <c r="O22" i="3" s="1"/>
  <c r="M25" i="3"/>
  <c r="O25" i="3" s="1"/>
  <c r="M24" i="3"/>
  <c r="O24" i="3" s="1"/>
  <c r="M23" i="3"/>
  <c r="O23" i="3" s="1"/>
  <c r="M10" i="3"/>
  <c r="O10" i="3" s="1"/>
  <c r="M11" i="3"/>
  <c r="O11" i="3" s="1"/>
  <c r="M17" i="3"/>
  <c r="O17" i="3" s="1"/>
  <c r="M30" i="3"/>
  <c r="O30" i="3"/>
  <c r="M16" i="3"/>
  <c r="O16" i="3" s="1"/>
  <c r="M27" i="3"/>
  <c r="O27" i="3" s="1"/>
  <c r="M9" i="3"/>
  <c r="O9" i="3" s="1"/>
  <c r="E14" i="3"/>
  <c r="G14" i="3"/>
  <c r="E9" i="3"/>
  <c r="G9" i="3"/>
  <c r="E5" i="3"/>
  <c r="E15" i="3"/>
  <c r="G15" i="3"/>
  <c r="E12" i="3"/>
  <c r="G12" i="3"/>
  <c r="E18" i="3"/>
  <c r="G18" i="3"/>
  <c r="E13" i="3"/>
  <c r="G13" i="3"/>
  <c r="E5" i="1"/>
  <c r="E20" i="1"/>
  <c r="E16" i="1"/>
  <c r="E28" i="1"/>
  <c r="E10" i="1"/>
  <c r="E8" i="1"/>
  <c r="E13" i="1"/>
  <c r="E22" i="1"/>
  <c r="E29" i="1"/>
  <c r="E21" i="1"/>
  <c r="E23" i="1"/>
  <c r="E7" i="1"/>
  <c r="E12" i="1"/>
  <c r="E17" i="1"/>
  <c r="E19" i="1"/>
  <c r="E6" i="1"/>
  <c r="E30" i="1"/>
  <c r="E31" i="1"/>
  <c r="E14" i="1"/>
  <c r="E26" i="1"/>
  <c r="E15" i="1"/>
  <c r="E9" i="1"/>
  <c r="E27" i="1"/>
  <c r="E24" i="1"/>
  <c r="E19" i="3"/>
  <c r="G5" i="3"/>
  <c r="G19" i="3"/>
  <c r="H9" i="3"/>
  <c r="M29" i="3" l="1"/>
  <c r="O29" i="3" s="1"/>
  <c r="M21" i="3"/>
  <c r="O21" i="3" s="1"/>
  <c r="M7" i="3"/>
  <c r="O7" i="3" s="1"/>
  <c r="M12" i="3"/>
  <c r="O12" i="3" s="1"/>
  <c r="M31" i="3"/>
  <c r="O31" i="3" s="1"/>
  <c r="M15" i="3"/>
  <c r="O15" i="3" s="1"/>
  <c r="M5" i="3"/>
  <c r="M28" i="3"/>
  <c r="O28" i="3" s="1"/>
  <c r="M8" i="3"/>
  <c r="O8" i="3" s="1"/>
  <c r="M18" i="3"/>
  <c r="O18" i="3" s="1"/>
  <c r="M26" i="3"/>
  <c r="O26" i="3" s="1"/>
  <c r="M19" i="3"/>
  <c r="O19" i="3" s="1"/>
  <c r="M20" i="3"/>
  <c r="O20" i="3" s="1"/>
  <c r="M6" i="3"/>
  <c r="O6" i="3" s="1"/>
  <c r="M13" i="3"/>
  <c r="O13" i="3" s="1"/>
  <c r="M32" i="3"/>
  <c r="O32" i="3" s="1"/>
  <c r="M33" i="3" l="1"/>
  <c r="O5" i="3"/>
  <c r="O33" i="3" s="1"/>
  <c r="P9" i="3" s="1"/>
</calcChain>
</file>

<file path=xl/sharedStrings.xml><?xml version="1.0" encoding="utf-8"?>
<sst xmlns="http://schemas.openxmlformats.org/spreadsheetml/2006/main" count="324" uniqueCount="143">
  <si>
    <t>Tabela Risco</t>
  </si>
  <si>
    <t>Muito Alto</t>
  </si>
  <si>
    <t>Alto</t>
  </si>
  <si>
    <t>Médio</t>
  </si>
  <si>
    <t>Baixo</t>
  </si>
  <si>
    <t>Baixa</t>
  </si>
  <si>
    <t>Média</t>
  </si>
  <si>
    <t>Alta</t>
  </si>
  <si>
    <t>Muito Alta</t>
  </si>
  <si>
    <t>Impacto</t>
  </si>
  <si>
    <t>Probabilidade</t>
  </si>
  <si>
    <t>Resultado</t>
  </si>
  <si>
    <t>Nível de Eficácia</t>
  </si>
  <si>
    <t>Tabela Hiato de Controle</t>
  </si>
  <si>
    <t>Eficácia do Controle</t>
  </si>
  <si>
    <t>Forte</t>
  </si>
  <si>
    <t>Satisfatório</t>
  </si>
  <si>
    <t>Fraco</t>
  </si>
  <si>
    <t>Inexistente</t>
  </si>
  <si>
    <t>Ranking do Risco</t>
  </si>
  <si>
    <t>Quant.</t>
  </si>
  <si>
    <t>Total</t>
  </si>
  <si>
    <t>Média simples</t>
  </si>
  <si>
    <t>Valoração</t>
  </si>
  <si>
    <t>Mediano</t>
  </si>
  <si>
    <t>Avaliação do Risco Inerente</t>
  </si>
  <si>
    <t>Muito Baixo</t>
  </si>
  <si>
    <t>Muito Baixa</t>
  </si>
  <si>
    <t>Médio 20</t>
  </si>
  <si>
    <t>Médio 24</t>
  </si>
  <si>
    <t>Médio 26</t>
  </si>
  <si>
    <t>Nota de avaliação do Risco Inerente</t>
  </si>
  <si>
    <t>Nota de avaliação do Risco Residual</t>
  </si>
  <si>
    <t>Médio 32</t>
  </si>
  <si>
    <t>Alto 60</t>
  </si>
  <si>
    <t>Alto 64</t>
  </si>
  <si>
    <t>Alto 51</t>
  </si>
  <si>
    <t>Médio 38</t>
  </si>
  <si>
    <t>Médio 10</t>
  </si>
  <si>
    <t>Alto 40</t>
  </si>
  <si>
    <t>Médio 16</t>
  </si>
  <si>
    <t>Baixo 4</t>
  </si>
  <si>
    <t>Baixo 2</t>
  </si>
  <si>
    <t>Baixo 1</t>
  </si>
  <si>
    <t>Matriz quantitativa</t>
  </si>
  <si>
    <t>Matriz qualitativa</t>
  </si>
  <si>
    <t>Baixo 8</t>
  </si>
  <si>
    <t>Alto 48</t>
  </si>
  <si>
    <t>Médio 13</t>
  </si>
  <si>
    <t>Médio 12</t>
  </si>
  <si>
    <t>Elementos para definição do Modelo de Avaliação de Riscos e de Asseguração do TCU</t>
  </si>
  <si>
    <t>Matriz de Risco</t>
  </si>
  <si>
    <t>Escalas de Probabilidade e Impacto</t>
  </si>
  <si>
    <t>Fatores</t>
  </si>
  <si>
    <t>MB</t>
  </si>
  <si>
    <t>B</t>
  </si>
  <si>
    <t>M</t>
  </si>
  <si>
    <t>A</t>
  </si>
  <si>
    <t>MA</t>
  </si>
  <si>
    <t>Teste do efeito dos controles - Risco Residual (RR)</t>
  </si>
  <si>
    <t>Efeito dos Controles</t>
  </si>
  <si>
    <t>RI</t>
  </si>
  <si>
    <t>RISCO</t>
  </si>
  <si>
    <t>BAIXO</t>
  </si>
  <si>
    <t>MÉDIO</t>
  </si>
  <si>
    <t>ALTO</t>
  </si>
  <si>
    <t>EXTREMO</t>
  </si>
  <si>
    <t>Eficácia</t>
  </si>
  <si>
    <t>RC</t>
  </si>
  <si>
    <t>RR</t>
  </si>
  <si>
    <t>Premissas</t>
  </si>
  <si>
    <t>Inexist</t>
  </si>
  <si>
    <r>
      <t xml:space="preserve">Adoção da regra 80/20 (Pareto) para o último intervalo das Escalas de Probabilidade e Impacto (ambos de 0,80 a 1,00 = 20%) e para a área de risco </t>
    </r>
    <r>
      <rPr>
        <b/>
        <sz val="11"/>
        <color indexed="10"/>
        <rFont val="Calibri"/>
        <family val="2"/>
      </rPr>
      <t>EXTREMO</t>
    </r>
    <r>
      <rPr>
        <sz val="11"/>
        <color theme="1"/>
        <rFont val="Calibri"/>
        <family val="2"/>
        <scheme val="minor"/>
      </rPr>
      <t xml:space="preserve"> da Matriz de Risco.</t>
    </r>
  </si>
  <si>
    <t>Níveis de Risco no TCEu</t>
  </si>
  <si>
    <t>Níveis de Risco no TCU</t>
  </si>
  <si>
    <t>Satisfat</t>
  </si>
  <si>
    <t>0,00 - 0,60</t>
  </si>
  <si>
    <t>Não Elevado</t>
  </si>
  <si>
    <t>Distribuição das células (áreas de riscos) na Matriz</t>
  </si>
  <si>
    <t>0,61 - 1,00</t>
  </si>
  <si>
    <t>Elevado</t>
  </si>
  <si>
    <t>Política em Relação ao Controle Interno do TC Europeu</t>
  </si>
  <si>
    <t>Política em Relação ao Controle Interno do TCU</t>
  </si>
  <si>
    <t>Níveis de Confiança e Risco de Controle</t>
  </si>
  <si>
    <t>Abordagem do TCU para testes de controle no nível das transações ou afirmações</t>
  </si>
  <si>
    <t>Avaliação</t>
  </si>
  <si>
    <t>NC</t>
  </si>
  <si>
    <t>Nível</t>
  </si>
  <si>
    <r>
      <t>NC</t>
    </r>
    <r>
      <rPr>
        <b/>
        <vertAlign val="superscript"/>
        <sz val="11"/>
        <color indexed="8"/>
        <rFont val="Calibri"/>
        <family val="2"/>
      </rPr>
      <t>(1)</t>
    </r>
  </si>
  <si>
    <t>Excellent</t>
  </si>
  <si>
    <t>M.BAIXO</t>
  </si>
  <si>
    <r>
      <rPr>
        <b/>
        <sz val="11"/>
        <color indexed="8"/>
        <rFont val="Calibri"/>
        <family val="2"/>
      </rPr>
      <t>Teste de efetividade operacional dos controles é obrigatório</t>
    </r>
    <r>
      <rPr>
        <sz val="11"/>
        <color theme="1"/>
        <rFont val="Calibri"/>
        <family val="2"/>
        <scheme val="minor"/>
      </rPr>
      <t xml:space="preserve"> para confirmar a avaliação preliminar do RC quando este for menor que ALTO. Com o valor do RC confirmado, recalcular o risco de detecção aceitável (RD) e o nível de confiança mínimo (NC) a ser obtido por meio de testes substantivos (NC = 1 - RD) e que deverá ser levado em consideração na determinação da extensão dos referidos testes.</t>
    </r>
  </si>
  <si>
    <t>Good</t>
  </si>
  <si>
    <r>
      <rPr>
        <b/>
        <sz val="11"/>
        <rFont val="Calibri"/>
        <family val="2"/>
      </rPr>
      <t>Não realiza teste de efetividade operacional de controles</t>
    </r>
    <r>
      <rPr>
        <sz val="11"/>
        <rFont val="Calibri"/>
        <family val="2"/>
      </rPr>
      <t>. A abordagem de auditoria deve ser puramente substantiva e a extensão deve levar em consideração diretamente estes RC no cálculo do RD que derivará o NC mínimo necessário.</t>
    </r>
  </si>
  <si>
    <t>Poor or not tested</t>
  </si>
  <si>
    <t>Inexistente/não testado</t>
  </si>
  <si>
    <t>M. ALTO</t>
  </si>
  <si>
    <r>
      <rPr>
        <vertAlign val="superscript"/>
        <sz val="11"/>
        <color indexed="8"/>
        <rFont val="Calibri"/>
        <family val="2"/>
      </rPr>
      <t>(1)</t>
    </r>
    <r>
      <rPr>
        <sz val="11"/>
        <color theme="1"/>
        <rFont val="Calibri"/>
        <family val="2"/>
        <scheme val="minor"/>
      </rPr>
      <t xml:space="preserve">Nossos </t>
    </r>
    <r>
      <rPr>
        <b/>
        <sz val="11"/>
        <color indexed="8"/>
        <rFont val="Calibri"/>
        <family val="2"/>
      </rPr>
      <t>NC</t>
    </r>
    <r>
      <rPr>
        <sz val="11"/>
        <color theme="1"/>
        <rFont val="Calibri"/>
        <family val="2"/>
        <scheme val="minor"/>
      </rPr>
      <t xml:space="preserve"> em controles são inferiores aos europeus para compensar a imaturidade do ambiente de controle, governança e gestão de riscos no setor público e o elevado grau de fraude e corrupção no País.</t>
    </r>
  </si>
  <si>
    <t>Baixo  8</t>
  </si>
  <si>
    <t>Baixo  6</t>
  </si>
  <si>
    <t>Baixo  4</t>
  </si>
  <si>
    <t>Baixo  3</t>
  </si>
  <si>
    <t>Baixo  2</t>
  </si>
  <si>
    <t>Baixo  1</t>
  </si>
  <si>
    <t>Baixo  0</t>
  </si>
  <si>
    <t>Extremo</t>
  </si>
  <si>
    <t>Extremo 100</t>
  </si>
  <si>
    <t>Extremo 80</t>
  </si>
  <si>
    <t>Alto 50</t>
  </si>
  <si>
    <t>Baixo 5</t>
  </si>
  <si>
    <t>Médio 25</t>
  </si>
  <si>
    <t>Médio 30</t>
  </si>
  <si>
    <t>Médio 15</t>
  </si>
  <si>
    <t>Baixo  5</t>
  </si>
  <si>
    <r>
      <rPr>
        <u/>
        <sz val="11"/>
        <color indexed="8"/>
        <rFont val="Calibri"/>
        <family val="2"/>
      </rPr>
      <t>Legenda Nível de Risco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indexed="10"/>
        <rFont val="Calibri"/>
        <family val="2"/>
      </rPr>
      <t>Extremo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indexed="53"/>
        <rFont val="Calibri"/>
        <family val="2"/>
      </rPr>
      <t>Alto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indexed="13"/>
        <rFont val="Calibri"/>
        <family val="2"/>
      </rPr>
      <t>Médio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indexed="50"/>
        <rFont val="Calibri"/>
        <family val="2"/>
      </rPr>
      <t>Baixo</t>
    </r>
    <r>
      <rPr>
        <sz val="11"/>
        <color theme="1"/>
        <rFont val="Calibri"/>
        <family val="2"/>
        <scheme val="minor"/>
      </rPr>
      <t xml:space="preserve">
</t>
    </r>
  </si>
  <si>
    <t>Processo</t>
  </si>
  <si>
    <t>Referência</t>
  </si>
  <si>
    <t>Avaliação das respostas ao risco</t>
  </si>
  <si>
    <t>Controles identificados</t>
  </si>
  <si>
    <t xml:space="preserve">Baixo  </t>
  </si>
  <si>
    <t>Relevância e Materialidade</t>
  </si>
  <si>
    <t>Descrição do evento de risco</t>
  </si>
  <si>
    <t xml:space="preserve">Evento </t>
  </si>
  <si>
    <t>Nível de Risco Inerente</t>
  </si>
  <si>
    <t>Causas</t>
  </si>
  <si>
    <t>Consequências</t>
  </si>
  <si>
    <t>Justificativas</t>
  </si>
  <si>
    <t>Nível de Risco Residual</t>
  </si>
  <si>
    <t>Descrição do evento</t>
  </si>
  <si>
    <t>Questão de Auditoria</t>
  </si>
  <si>
    <t>Não Incluir na MAR</t>
  </si>
  <si>
    <t>(Normal; Difícil; Inviável)</t>
  </si>
  <si>
    <t>Viabilidade</t>
  </si>
  <si>
    <t>Incluir no escopo?
(Sim; Não)</t>
  </si>
  <si>
    <t>Incluir na matriz de análise de riscos?</t>
  </si>
  <si>
    <t>Ref.</t>
  </si>
  <si>
    <t>E1</t>
  </si>
  <si>
    <t>E2</t>
  </si>
  <si>
    <t>XXXX</t>
  </si>
  <si>
    <t>YYYYY</t>
  </si>
  <si>
    <t>Incluir na MAR</t>
  </si>
  <si>
    <t>Descrição das causas do evento</t>
  </si>
  <si>
    <t>Descrição das consequência do 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</si>
</sst>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_(* #,##0.00_);_(* \(#,##0.00\);_(* &quot;-&quot;??_);_(@_)"/>
    <numFmt numFmtId="183" formatCode="0.000"/>
    <numFmt numFmtId="184" formatCode="0.0"/>
    <numFmt numFmtId="185" formatCode="#,##0.00_ ;\-#,##0.00\ "/>
  </numFmts>
  <fonts count="3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indexed="10"/>
      <name val="Calibri"/>
      <family val="2"/>
    </font>
    <font>
      <b/>
      <vertAlign val="superscript"/>
      <sz val="11"/>
      <color indexed="8"/>
      <name val="Calibri"/>
      <family val="2"/>
    </font>
    <font>
      <vertAlign val="superscript"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13"/>
      <name val="Calibri"/>
      <family val="2"/>
    </font>
    <font>
      <u/>
      <sz val="11"/>
      <color indexed="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sz val="16"/>
      <color theme="1"/>
      <name val="Monotype Corsiva"/>
      <family val="4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177" fontId="14" fillId="0" borderId="0" applyFont="0" applyFill="0" applyBorder="0" applyAlignment="0" applyProtection="0"/>
  </cellStyleXfs>
  <cellXfs count="394">
    <xf numFmtId="0" fontId="0" fillId="0" borderId="0" xfId="0"/>
    <xf numFmtId="0" fontId="0" fillId="0" borderId="1" xfId="0" applyBorder="1"/>
    <xf numFmtId="0" fontId="0" fillId="0" borderId="0" xfId="0" applyBorder="1"/>
    <xf numFmtId="0" fontId="16" fillId="2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1" xfId="0" applyFont="1" applyBorder="1" applyProtection="1">
      <protection hidden="1"/>
    </xf>
    <xf numFmtId="0" fontId="17" fillId="0" borderId="0" xfId="0" applyFont="1" applyBorder="1" applyProtection="1">
      <protection hidden="1"/>
    </xf>
    <xf numFmtId="0" fontId="17" fillId="0" borderId="9" xfId="0" applyFont="1" applyBorder="1" applyProtection="1">
      <protection hidden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Fill="1" applyBorder="1" applyAlignment="1">
      <alignment horizontal="center" vertical="center"/>
    </xf>
    <xf numFmtId="0" fontId="0" fillId="0" borderId="14" xfId="0" applyBorder="1"/>
    <xf numFmtId="0" fontId="17" fillId="0" borderId="14" xfId="0" applyFont="1" applyBorder="1" applyProtection="1">
      <protection hidden="1"/>
    </xf>
    <xf numFmtId="0" fontId="0" fillId="0" borderId="15" xfId="0" applyBorder="1"/>
    <xf numFmtId="2" fontId="0" fillId="0" borderId="6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13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4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7" fillId="0" borderId="0" xfId="0" applyFont="1" applyBorder="1" applyAlignment="1" applyProtection="1">
      <alignment horizontal="center"/>
      <protection hidden="1"/>
    </xf>
    <xf numFmtId="2" fontId="0" fillId="0" borderId="16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84" fontId="0" fillId="3" borderId="8" xfId="0" applyNumberFormat="1" applyFill="1" applyBorder="1" applyAlignment="1">
      <alignment horizontal="center" vertical="center"/>
    </xf>
    <xf numFmtId="184" fontId="0" fillId="7" borderId="8" xfId="0" applyNumberFormat="1" applyFill="1" applyBorder="1" applyAlignment="1">
      <alignment horizontal="center" vertical="center"/>
    </xf>
    <xf numFmtId="184" fontId="0" fillId="6" borderId="8" xfId="0" applyNumberFormat="1" applyFill="1" applyBorder="1" applyAlignment="1">
      <alignment horizontal="center" vertical="center"/>
    </xf>
    <xf numFmtId="184" fontId="0" fillId="2" borderId="8" xfId="0" applyNumberFormat="1" applyFill="1" applyBorder="1" applyAlignment="1">
      <alignment horizontal="center" vertical="center"/>
    </xf>
    <xf numFmtId="184" fontId="0" fillId="6" borderId="8" xfId="0" applyNumberFormat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6" borderId="0" xfId="0" applyFill="1"/>
    <xf numFmtId="0" fontId="0" fillId="0" borderId="0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9" borderId="0" xfId="0" applyFill="1"/>
    <xf numFmtId="0" fontId="16" fillId="0" borderId="0" xfId="0" applyFont="1"/>
    <xf numFmtId="0" fontId="16" fillId="0" borderId="7" xfId="0" applyFont="1" applyBorder="1"/>
    <xf numFmtId="177" fontId="16" fillId="0" borderId="7" xfId="2" applyFont="1" applyBorder="1" applyAlignment="1">
      <alignment horizontal="center"/>
    </xf>
    <xf numFmtId="2" fontId="15" fillId="10" borderId="17" xfId="0" applyNumberFormat="1" applyFont="1" applyFill="1" applyBorder="1"/>
    <xf numFmtId="2" fontId="15" fillId="10" borderId="18" xfId="0" applyNumberFormat="1" applyFont="1" applyFill="1" applyBorder="1"/>
    <xf numFmtId="2" fontId="15" fillId="10" borderId="19" xfId="0" applyNumberFormat="1" applyFont="1" applyFill="1" applyBorder="1"/>
    <xf numFmtId="185" fontId="14" fillId="0" borderId="7" xfId="2" applyNumberFormat="1" applyFont="1" applyBorder="1" applyAlignment="1">
      <alignment horizontal="center"/>
    </xf>
    <xf numFmtId="0" fontId="0" fillId="0" borderId="0" xfId="0" applyBorder="1" applyAlignment="1">
      <alignment wrapText="1"/>
    </xf>
    <xf numFmtId="2" fontId="0" fillId="2" borderId="20" xfId="0" applyNumberFormat="1" applyFill="1" applyBorder="1"/>
    <xf numFmtId="2" fontId="0" fillId="2" borderId="0" xfId="0" applyNumberFormat="1" applyFill="1" applyBorder="1"/>
    <xf numFmtId="2" fontId="0" fillId="11" borderId="0" xfId="0" applyNumberFormat="1" applyFill="1" applyBorder="1"/>
    <xf numFmtId="2" fontId="0" fillId="6" borderId="0" xfId="0" applyNumberFormat="1" applyFill="1" applyBorder="1"/>
    <xf numFmtId="2" fontId="0" fillId="6" borderId="21" xfId="0" applyNumberFormat="1" applyFill="1" applyBorder="1"/>
    <xf numFmtId="2" fontId="15" fillId="10" borderId="0" xfId="0" applyNumberFormat="1" applyFont="1" applyFill="1"/>
    <xf numFmtId="2" fontId="0" fillId="3" borderId="20" xfId="0" applyNumberFormat="1" applyFill="1" applyBorder="1"/>
    <xf numFmtId="2" fontId="16" fillId="3" borderId="7" xfId="0" applyNumberFormat="1" applyFont="1" applyFill="1" applyBorder="1" applyAlignment="1">
      <alignment horizontal="center"/>
    </xf>
    <xf numFmtId="2" fontId="16" fillId="2" borderId="7" xfId="0" applyNumberFormat="1" applyFont="1" applyFill="1" applyBorder="1" applyAlignment="1">
      <alignment horizontal="center"/>
    </xf>
    <xf numFmtId="2" fontId="16" fillId="11" borderId="7" xfId="0" applyNumberFormat="1" applyFont="1" applyFill="1" applyBorder="1" applyAlignment="1">
      <alignment horizontal="center"/>
    </xf>
    <xf numFmtId="2" fontId="16" fillId="6" borderId="7" xfId="0" applyNumberFormat="1" applyFont="1" applyFill="1" applyBorder="1" applyAlignment="1">
      <alignment horizontal="center"/>
    </xf>
    <xf numFmtId="177" fontId="16" fillId="2" borderId="7" xfId="2" applyFont="1" applyFill="1" applyBorder="1"/>
    <xf numFmtId="177" fontId="16" fillId="11" borderId="7" xfId="2" applyFont="1" applyFill="1" applyBorder="1"/>
    <xf numFmtId="177" fontId="16" fillId="11" borderId="7" xfId="2" applyFont="1" applyFill="1" applyBorder="1" applyAlignment="1">
      <alignment wrapText="1"/>
    </xf>
    <xf numFmtId="177" fontId="18" fillId="6" borderId="7" xfId="2" applyFont="1" applyFill="1" applyBorder="1"/>
    <xf numFmtId="177" fontId="18" fillId="6" borderId="7" xfId="2" applyFont="1" applyFill="1" applyBorder="1" applyAlignment="1">
      <alignment wrapText="1"/>
    </xf>
    <xf numFmtId="2" fontId="0" fillId="11" borderId="21" xfId="0" applyNumberFormat="1" applyFill="1" applyBorder="1"/>
    <xf numFmtId="0" fontId="16" fillId="2" borderId="7" xfId="0" applyFont="1" applyFill="1" applyBorder="1" applyAlignment="1">
      <alignment horizontal="center"/>
    </xf>
    <xf numFmtId="0" fontId="18" fillId="11" borderId="7" xfId="0" applyFont="1" applyFill="1" applyBorder="1" applyAlignment="1">
      <alignment horizontal="center"/>
    </xf>
    <xf numFmtId="0" fontId="16" fillId="6" borderId="7" xfId="0" applyFont="1" applyFill="1" applyBorder="1" applyAlignment="1">
      <alignment horizontal="center"/>
    </xf>
    <xf numFmtId="177" fontId="16" fillId="12" borderId="7" xfId="2" applyFont="1" applyFill="1" applyBorder="1" applyAlignment="1">
      <alignment horizontal="center"/>
    </xf>
    <xf numFmtId="2" fontId="0" fillId="3" borderId="0" xfId="0" applyNumberFormat="1" applyFill="1" applyBorder="1"/>
    <xf numFmtId="2" fontId="0" fillId="2" borderId="21" xfId="0" applyNumberFormat="1" applyFill="1" applyBorder="1"/>
    <xf numFmtId="177" fontId="14" fillId="12" borderId="0" xfId="2" applyFont="1" applyFill="1"/>
    <xf numFmtId="177" fontId="14" fillId="2" borderId="0" xfId="2" applyFont="1" applyFill="1"/>
    <xf numFmtId="177" fontId="14" fillId="11" borderId="0" xfId="2" applyFont="1" applyFill="1"/>
    <xf numFmtId="177" fontId="14" fillId="6" borderId="0" xfId="2" applyFont="1" applyFill="1"/>
    <xf numFmtId="2" fontId="0" fillId="3" borderId="22" xfId="0" applyNumberFormat="1" applyFill="1" applyBorder="1"/>
    <xf numFmtId="2" fontId="0" fillId="3" borderId="23" xfId="0" applyNumberFormat="1" applyFill="1" applyBorder="1"/>
    <xf numFmtId="2" fontId="0" fillId="2" borderId="24" xfId="0" applyNumberFormat="1" applyFill="1" applyBorder="1"/>
    <xf numFmtId="0" fontId="0" fillId="11" borderId="0" xfId="0" applyFill="1"/>
    <xf numFmtId="177" fontId="14" fillId="3" borderId="0" xfId="2" applyFont="1" applyFill="1"/>
    <xf numFmtId="2" fontId="0" fillId="3" borderId="0" xfId="0" applyNumberFormat="1" applyFill="1"/>
    <xf numFmtId="183" fontId="0" fillId="3" borderId="0" xfId="0" applyNumberFormat="1" applyFill="1" applyAlignment="1">
      <alignment horizontal="right"/>
    </xf>
    <xf numFmtId="2" fontId="0" fillId="3" borderId="7" xfId="0" applyNumberFormat="1" applyFill="1" applyBorder="1"/>
    <xf numFmtId="2" fontId="0" fillId="2" borderId="23" xfId="0" applyNumberFormat="1" applyFill="1" applyBorder="1"/>
    <xf numFmtId="183" fontId="0" fillId="2" borderId="23" xfId="0" applyNumberFormat="1" applyFill="1" applyBorder="1"/>
    <xf numFmtId="2" fontId="0" fillId="2" borderId="7" xfId="0" applyNumberFormat="1" applyFill="1" applyBorder="1"/>
    <xf numFmtId="0" fontId="16" fillId="0" borderId="0" xfId="0" applyFont="1" applyBorder="1"/>
    <xf numFmtId="2" fontId="0" fillId="11" borderId="0" xfId="0" applyNumberFormat="1" applyFill="1"/>
    <xf numFmtId="183" fontId="0" fillId="11" borderId="0" xfId="0" applyNumberFormat="1" applyFill="1"/>
    <xf numFmtId="0" fontId="0" fillId="11" borderId="7" xfId="0" applyFill="1" applyBorder="1"/>
    <xf numFmtId="0" fontId="0" fillId="2" borderId="7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18" fillId="0" borderId="7" xfId="0" applyFont="1" applyFill="1" applyBorder="1" applyAlignment="1">
      <alignment horizontal="center"/>
    </xf>
    <xf numFmtId="2" fontId="0" fillId="6" borderId="22" xfId="0" applyNumberFormat="1" applyFill="1" applyBorder="1"/>
    <xf numFmtId="2" fontId="0" fillId="6" borderId="23" xfId="0" applyNumberFormat="1" applyFill="1" applyBorder="1"/>
    <xf numFmtId="0" fontId="0" fillId="6" borderId="7" xfId="0" applyFill="1" applyBorder="1"/>
    <xf numFmtId="9" fontId="14" fillId="3" borderId="7" xfId="1" applyFont="1" applyFill="1" applyBorder="1" applyAlignment="1">
      <alignment horizontal="center"/>
    </xf>
    <xf numFmtId="9" fontId="14" fillId="2" borderId="7" xfId="1" applyFont="1" applyFill="1" applyBorder="1" applyAlignment="1">
      <alignment horizontal="center"/>
    </xf>
    <xf numFmtId="9" fontId="14" fillId="11" borderId="7" xfId="1" applyFont="1" applyFill="1" applyBorder="1" applyAlignment="1">
      <alignment horizontal="center"/>
    </xf>
    <xf numFmtId="9" fontId="14" fillId="6" borderId="7" xfId="1" applyFont="1" applyFill="1" applyBorder="1" applyAlignment="1">
      <alignment horizontal="center"/>
    </xf>
    <xf numFmtId="9" fontId="16" fillId="0" borderId="7" xfId="1" applyFont="1" applyFill="1" applyBorder="1" applyAlignment="1">
      <alignment horizontal="center"/>
    </xf>
    <xf numFmtId="1" fontId="0" fillId="0" borderId="0" xfId="0" applyNumberFormat="1"/>
    <xf numFmtId="0" fontId="0" fillId="0" borderId="0" xfId="0" applyBorder="1" applyAlignment="1">
      <alignment horizontal="left" vertical="top" wrapText="1"/>
    </xf>
    <xf numFmtId="0" fontId="16" fillId="13" borderId="17" xfId="0" applyFont="1" applyFill="1" applyBorder="1"/>
    <xf numFmtId="0" fontId="0" fillId="13" borderId="18" xfId="0" applyFill="1" applyBorder="1"/>
    <xf numFmtId="0" fontId="0" fillId="13" borderId="19" xfId="0" applyFill="1" applyBorder="1"/>
    <xf numFmtId="0" fontId="16" fillId="13" borderId="20" xfId="0" applyFont="1" applyFill="1" applyBorder="1"/>
    <xf numFmtId="0" fontId="0" fillId="13" borderId="0" xfId="0" applyFill="1" applyBorder="1"/>
    <xf numFmtId="0" fontId="16" fillId="13" borderId="25" xfId="0" applyFont="1" applyFill="1" applyBorder="1" applyAlignment="1">
      <alignment horizontal="center"/>
    </xf>
    <xf numFmtId="0" fontId="16" fillId="13" borderId="0" xfId="0" applyFont="1" applyFill="1" applyBorder="1" applyAlignment="1">
      <alignment horizontal="center"/>
    </xf>
    <xf numFmtId="0" fontId="16" fillId="13" borderId="21" xfId="0" applyFont="1" applyFill="1" applyBorder="1" applyAlignment="1">
      <alignment horizontal="center"/>
    </xf>
    <xf numFmtId="0" fontId="16" fillId="13" borderId="26" xfId="0" applyFont="1" applyFill="1" applyBorder="1"/>
    <xf numFmtId="0" fontId="0" fillId="13" borderId="8" xfId="0" applyFill="1" applyBorder="1"/>
    <xf numFmtId="0" fontId="0" fillId="3" borderId="20" xfId="0" applyFill="1" applyBorder="1"/>
    <xf numFmtId="0" fontId="0" fillId="3" borderId="0" xfId="0" applyFill="1" applyBorder="1"/>
    <xf numFmtId="0" fontId="0" fillId="3" borderId="27" xfId="0" quotePrefix="1" applyNumberForma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21" xfId="0" applyFill="1" applyBorder="1"/>
    <xf numFmtId="0" fontId="0" fillId="3" borderId="26" xfId="0" applyFill="1" applyBorder="1"/>
    <xf numFmtId="0" fontId="0" fillId="9" borderId="20" xfId="0" applyFill="1" applyBorder="1"/>
    <xf numFmtId="0" fontId="0" fillId="9" borderId="0" xfId="0" applyFill="1" applyBorder="1"/>
    <xf numFmtId="0" fontId="0" fillId="9" borderId="28" xfId="0" quotePrefix="1" applyNumberFormat="1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9" borderId="21" xfId="0" applyFill="1" applyBorder="1"/>
    <xf numFmtId="0" fontId="0" fillId="9" borderId="26" xfId="0" applyFill="1" applyBorder="1"/>
    <xf numFmtId="0" fontId="0" fillId="0" borderId="20" xfId="0" applyBorder="1"/>
    <xf numFmtId="0" fontId="0" fillId="0" borderId="21" xfId="0" applyBorder="1"/>
    <xf numFmtId="0" fontId="0" fillId="2" borderId="26" xfId="0" applyFill="1" applyBorder="1" applyAlignment="1"/>
    <xf numFmtId="0" fontId="0" fillId="11" borderId="26" xfId="0" applyFill="1" applyBorder="1"/>
    <xf numFmtId="0" fontId="19" fillId="6" borderId="22" xfId="0" applyFont="1" applyFill="1" applyBorder="1" applyAlignment="1"/>
    <xf numFmtId="0" fontId="19" fillId="6" borderId="23" xfId="0" applyFont="1" applyFill="1" applyBorder="1"/>
    <xf numFmtId="0" fontId="19" fillId="6" borderId="23" xfId="0" quotePrefix="1" applyNumberFormat="1" applyFont="1" applyFill="1" applyBorder="1" applyAlignment="1">
      <alignment horizontal="center"/>
    </xf>
    <xf numFmtId="0" fontId="19" fillId="6" borderId="23" xfId="0" applyFont="1" applyFill="1" applyBorder="1" applyAlignment="1">
      <alignment horizontal="center"/>
    </xf>
    <xf numFmtId="0" fontId="19" fillId="6" borderId="24" xfId="0" applyFont="1" applyFill="1" applyBorder="1"/>
    <xf numFmtId="0" fontId="19" fillId="6" borderId="26" xfId="0" applyFont="1" applyFill="1" applyBorder="1" applyAlignment="1"/>
    <xf numFmtId="0" fontId="0" fillId="0" borderId="0" xfId="0" applyFont="1" applyBorder="1" applyAlignment="1">
      <alignment horizontal="center" vertical="center" textRotation="90"/>
    </xf>
    <xf numFmtId="0" fontId="0" fillId="0" borderId="0" xfId="0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13" borderId="19" xfId="0" applyFont="1" applyFill="1" applyBorder="1" applyAlignment="1">
      <alignment horizontal="center"/>
    </xf>
    <xf numFmtId="0" fontId="0" fillId="3" borderId="6" xfId="0" quotePrefix="1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0" fontId="16" fillId="3" borderId="6" xfId="0" applyFont="1" applyFill="1" applyBorder="1"/>
    <xf numFmtId="0" fontId="0" fillId="9" borderId="6" xfId="0" quotePrefix="1" applyNumberFormat="1" applyFill="1" applyBorder="1" applyAlignment="1">
      <alignment horizontal="center"/>
    </xf>
    <xf numFmtId="2" fontId="0" fillId="9" borderId="6" xfId="0" applyNumberFormat="1" applyFill="1" applyBorder="1" applyAlignment="1">
      <alignment horizontal="center"/>
    </xf>
    <xf numFmtId="0" fontId="16" fillId="9" borderId="6" xfId="0" applyFont="1" applyFill="1" applyBorder="1"/>
    <xf numFmtId="0" fontId="0" fillId="2" borderId="6" xfId="0" quotePrefix="1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16" fillId="2" borderId="6" xfId="0" applyFont="1" applyFill="1" applyBorder="1"/>
    <xf numFmtId="0" fontId="0" fillId="11" borderId="6" xfId="0" quotePrefix="1" applyNumberFormat="1" applyFill="1" applyBorder="1" applyAlignment="1">
      <alignment horizontal="center"/>
    </xf>
    <xf numFmtId="2" fontId="0" fillId="11" borderId="6" xfId="0" applyNumberFormat="1" applyFill="1" applyBorder="1" applyAlignment="1">
      <alignment horizontal="center"/>
    </xf>
    <xf numFmtId="0" fontId="16" fillId="11" borderId="6" xfId="0" applyFont="1" applyFill="1" applyBorder="1"/>
    <xf numFmtId="0" fontId="19" fillId="6" borderId="6" xfId="0" quotePrefix="1" applyNumberFormat="1" applyFont="1" applyFill="1" applyBorder="1" applyAlignment="1">
      <alignment horizontal="center"/>
    </xf>
    <xf numFmtId="0" fontId="19" fillId="6" borderId="6" xfId="0" applyFont="1" applyFill="1" applyBorder="1" applyAlignment="1">
      <alignment horizontal="center"/>
    </xf>
    <xf numFmtId="0" fontId="20" fillId="6" borderId="6" xfId="0" applyFont="1" applyFill="1" applyBorder="1"/>
    <xf numFmtId="0" fontId="0" fillId="3" borderId="29" xfId="0" applyFill="1" applyBorder="1"/>
    <xf numFmtId="0" fontId="0" fillId="9" borderId="29" xfId="0" applyFill="1" applyBorder="1"/>
    <xf numFmtId="0" fontId="0" fillId="2" borderId="29" xfId="0" applyFill="1" applyBorder="1"/>
    <xf numFmtId="0" fontId="0" fillId="11" borderId="29" xfId="0" applyFill="1" applyBorder="1"/>
    <xf numFmtId="0" fontId="19" fillId="6" borderId="29" xfId="0" applyFont="1" applyFill="1" applyBorder="1"/>
    <xf numFmtId="0" fontId="0" fillId="14" borderId="6" xfId="0" applyFill="1" applyBorder="1" applyAlignment="1">
      <alignment horizontal="center" vertical="center" wrapText="1"/>
    </xf>
    <xf numFmtId="0" fontId="13" fillId="8" borderId="0" xfId="0" applyFont="1" applyFill="1" applyBorder="1" applyAlignment="1">
      <alignment vertical="center" wrapText="1"/>
    </xf>
    <xf numFmtId="0" fontId="0" fillId="0" borderId="2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Font="1" applyBorder="1" applyAlignment="1">
      <alignment vertical="center" textRotation="90"/>
    </xf>
    <xf numFmtId="0" fontId="13" fillId="8" borderId="7" xfId="0" applyFont="1" applyFill="1" applyBorder="1" applyAlignment="1">
      <alignment horizontal="center" vertical="center" wrapText="1"/>
    </xf>
    <xf numFmtId="0" fontId="13" fillId="8" borderId="25" xfId="0" applyFont="1" applyFill="1" applyBorder="1" applyAlignment="1">
      <alignment horizontal="center" vertical="center" wrapText="1"/>
    </xf>
    <xf numFmtId="0" fontId="21" fillId="8" borderId="0" xfId="0" applyFont="1" applyFill="1" applyBorder="1" applyAlignment="1" applyProtection="1">
      <alignment horizontal="center" vertical="center" wrapText="1"/>
      <protection hidden="1"/>
    </xf>
    <xf numFmtId="0" fontId="21" fillId="8" borderId="11" xfId="0" applyFont="1" applyFill="1" applyBorder="1" applyAlignment="1" applyProtection="1">
      <alignment horizontal="left" vertical="center" wrapText="1"/>
      <protection hidden="1"/>
    </xf>
    <xf numFmtId="0" fontId="21" fillId="8" borderId="0" xfId="0" applyFont="1" applyFill="1" applyProtection="1">
      <protection locked="0"/>
    </xf>
    <xf numFmtId="0" fontId="21" fillId="8" borderId="0" xfId="0" applyFont="1" applyFill="1" applyAlignment="1" applyProtection="1">
      <alignment horizontal="center" vertical="center"/>
      <protection locked="0"/>
    </xf>
    <xf numFmtId="0" fontId="21" fillId="8" borderId="0" xfId="0" applyFont="1" applyFill="1" applyAlignment="1" applyProtection="1">
      <alignment horizontal="center"/>
      <protection locked="0"/>
    </xf>
    <xf numFmtId="0" fontId="21" fillId="8" borderId="0" xfId="0" applyFont="1" applyFill="1" applyAlignment="1" applyProtection="1">
      <alignment vertical="center"/>
      <protection locked="0"/>
    </xf>
    <xf numFmtId="0" fontId="21" fillId="8" borderId="0" xfId="0" applyFont="1" applyFill="1" applyAlignment="1" applyProtection="1">
      <alignment horizontal="center" wrapText="1"/>
      <protection locked="0"/>
    </xf>
    <xf numFmtId="1" fontId="21" fillId="8" borderId="0" xfId="0" applyNumberFormat="1" applyFont="1" applyFill="1" applyAlignment="1" applyProtection="1">
      <alignment vertical="center"/>
      <protection locked="0"/>
    </xf>
    <xf numFmtId="1" fontId="21" fillId="8" borderId="0" xfId="0" applyNumberFormat="1" applyFont="1" applyFill="1" applyAlignment="1" applyProtection="1">
      <alignment horizontal="left" vertical="center"/>
      <protection locked="0"/>
    </xf>
    <xf numFmtId="0" fontId="21" fillId="8" borderId="0" xfId="0" applyFont="1" applyFill="1" applyBorder="1" applyProtection="1">
      <protection locked="0"/>
    </xf>
    <xf numFmtId="0" fontId="21" fillId="8" borderId="9" xfId="0" applyFont="1" applyFill="1" applyBorder="1" applyProtection="1">
      <protection locked="0"/>
    </xf>
    <xf numFmtId="0" fontId="21" fillId="8" borderId="0" xfId="0" applyFont="1" applyFill="1" applyBorder="1" applyAlignment="1" applyProtection="1">
      <alignment horizontal="left" vertical="center" wrapText="1" indent="1"/>
      <protection locked="0"/>
    </xf>
    <xf numFmtId="0" fontId="0" fillId="8" borderId="0" xfId="0" applyFill="1" applyBorder="1" applyAlignment="1" applyProtection="1">
      <alignment vertical="center"/>
      <protection locked="0"/>
    </xf>
    <xf numFmtId="0" fontId="21" fillId="8" borderId="0" xfId="0" applyFont="1" applyFill="1" applyBorder="1" applyAlignment="1" applyProtection="1">
      <alignment horizontal="center"/>
      <protection locked="0"/>
    </xf>
    <xf numFmtId="0" fontId="21" fillId="8" borderId="0" xfId="0" applyFont="1" applyFill="1" applyBorder="1" applyAlignment="1" applyProtection="1">
      <alignment horizontal="center" vertical="center"/>
      <protection locked="0"/>
    </xf>
    <xf numFmtId="0" fontId="21" fillId="8" borderId="0" xfId="0" applyFont="1" applyFill="1" applyBorder="1" applyAlignment="1" applyProtection="1">
      <alignment vertical="center"/>
      <protection locked="0"/>
    </xf>
    <xf numFmtId="0" fontId="21" fillId="8" borderId="0" xfId="0" applyFont="1" applyFill="1" applyBorder="1" applyAlignment="1" applyProtection="1">
      <alignment horizontal="center" wrapText="1"/>
      <protection locked="0"/>
    </xf>
    <xf numFmtId="1" fontId="21" fillId="8" borderId="0" xfId="0" applyNumberFormat="1" applyFont="1" applyFill="1" applyBorder="1" applyAlignment="1" applyProtection="1">
      <alignment vertical="center"/>
      <protection locked="0"/>
    </xf>
    <xf numFmtId="1" fontId="21" fillId="8" borderId="0" xfId="0" applyNumberFormat="1" applyFont="1" applyFill="1" applyBorder="1" applyAlignment="1" applyProtection="1">
      <alignment horizontal="left" vertical="center"/>
      <protection locked="0"/>
    </xf>
    <xf numFmtId="0" fontId="13" fillId="8" borderId="0" xfId="0" applyFont="1" applyFill="1" applyBorder="1" applyAlignment="1">
      <alignment vertical="center"/>
    </xf>
    <xf numFmtId="0" fontId="12" fillId="8" borderId="0" xfId="0" applyFont="1" applyFill="1" applyBorder="1" applyAlignment="1">
      <alignment vertical="center"/>
    </xf>
    <xf numFmtId="0" fontId="13" fillId="8" borderId="0" xfId="0" applyFont="1" applyFill="1" applyBorder="1" applyAlignment="1">
      <alignment horizontal="center" vertical="center" wrapText="1"/>
    </xf>
    <xf numFmtId="0" fontId="13" fillId="8" borderId="29" xfId="0" applyFont="1" applyFill="1" applyBorder="1" applyAlignment="1">
      <alignment vertical="center" wrapText="1"/>
    </xf>
    <xf numFmtId="0" fontId="13" fillId="8" borderId="9" xfId="0" applyFont="1" applyFill="1" applyBorder="1" applyAlignment="1">
      <alignment vertical="center"/>
    </xf>
    <xf numFmtId="0" fontId="13" fillId="8" borderId="30" xfId="0" applyFont="1" applyFill="1" applyBorder="1" applyAlignment="1">
      <alignment vertical="center"/>
    </xf>
    <xf numFmtId="0" fontId="12" fillId="8" borderId="9" xfId="0" applyFont="1" applyFill="1" applyBorder="1" applyAlignment="1">
      <alignment vertical="center"/>
    </xf>
    <xf numFmtId="0" fontId="13" fillId="8" borderId="11" xfId="0" applyFont="1" applyFill="1" applyBorder="1" applyAlignment="1">
      <alignment horizontal="left" vertical="center" wrapText="1"/>
    </xf>
    <xf numFmtId="0" fontId="13" fillId="8" borderId="11" xfId="0" applyFont="1" applyFill="1" applyBorder="1" applyAlignment="1">
      <alignment vertical="center" wrapText="1"/>
    </xf>
    <xf numFmtId="0" fontId="13" fillId="8" borderId="11" xfId="0" applyFont="1" applyFill="1" applyBorder="1" applyAlignment="1">
      <alignment horizontal="center" vertical="center" wrapText="1"/>
    </xf>
    <xf numFmtId="0" fontId="13" fillId="8" borderId="31" xfId="0" applyFont="1" applyFill="1" applyBorder="1" applyAlignment="1">
      <alignment vertical="center"/>
    </xf>
    <xf numFmtId="0" fontId="22" fillId="15" borderId="25" xfId="0" applyFont="1" applyFill="1" applyBorder="1" applyAlignment="1">
      <alignment horizontal="center" vertical="center" wrapText="1"/>
    </xf>
    <xf numFmtId="0" fontId="22" fillId="15" borderId="28" xfId="0" applyFont="1" applyFill="1" applyBorder="1" applyAlignment="1">
      <alignment horizontal="center" vertical="center" wrapText="1"/>
    </xf>
    <xf numFmtId="0" fontId="0" fillId="14" borderId="7" xfId="0" applyFill="1" applyBorder="1" applyAlignment="1">
      <alignment horizontal="center" vertical="center" wrapText="1"/>
    </xf>
    <xf numFmtId="0" fontId="13" fillId="8" borderId="23" xfId="0" applyFont="1" applyFill="1" applyBorder="1" applyAlignment="1">
      <alignment horizontal="center" vertical="center" wrapText="1"/>
    </xf>
    <xf numFmtId="0" fontId="13" fillId="8" borderId="32" xfId="0" applyFont="1" applyFill="1" applyBorder="1" applyAlignment="1">
      <alignment vertical="center"/>
    </xf>
    <xf numFmtId="0" fontId="12" fillId="8" borderId="1" xfId="0" applyFont="1" applyFill="1" applyBorder="1" applyAlignment="1">
      <alignment vertical="center"/>
    </xf>
    <xf numFmtId="0" fontId="13" fillId="8" borderId="1" xfId="0" applyFont="1" applyFill="1" applyBorder="1" applyAlignment="1">
      <alignment vertical="center"/>
    </xf>
    <xf numFmtId="0" fontId="13" fillId="8" borderId="10" xfId="0" applyFont="1" applyFill="1" applyBorder="1" applyAlignment="1">
      <alignment vertical="center"/>
    </xf>
    <xf numFmtId="0" fontId="23" fillId="15" borderId="7" xfId="0" applyFont="1" applyFill="1" applyBorder="1" applyAlignment="1">
      <alignment horizontal="center" vertical="center" wrapText="1"/>
    </xf>
    <xf numFmtId="0" fontId="23" fillId="15" borderId="25" xfId="0" applyFont="1" applyFill="1" applyBorder="1" applyAlignment="1">
      <alignment horizontal="center" vertical="center" wrapText="1"/>
    </xf>
    <xf numFmtId="0" fontId="23" fillId="15" borderId="28" xfId="0" applyFont="1" applyFill="1" applyBorder="1" applyAlignment="1">
      <alignment horizontal="center" vertical="center" wrapText="1"/>
    </xf>
    <xf numFmtId="0" fontId="0" fillId="8" borderId="11" xfId="0" applyFill="1" applyBorder="1" applyAlignment="1" applyProtection="1">
      <alignment vertical="center"/>
      <protection locked="0"/>
    </xf>
    <xf numFmtId="0" fontId="21" fillId="8" borderId="0" xfId="0" applyFont="1" applyFill="1" applyBorder="1" applyAlignment="1" applyProtection="1">
      <alignment horizontal="center" vertical="center" wrapText="1"/>
      <protection locked="0"/>
    </xf>
    <xf numFmtId="0" fontId="24" fillId="8" borderId="0" xfId="0" applyFont="1" applyFill="1" applyBorder="1" applyAlignment="1" applyProtection="1">
      <alignment horizontal="center" vertical="center"/>
      <protection locked="0"/>
    </xf>
    <xf numFmtId="1" fontId="21" fillId="8" borderId="0" xfId="0" applyNumberFormat="1" applyFont="1" applyFill="1" applyBorder="1" applyAlignment="1" applyProtection="1">
      <alignment horizontal="center" vertical="center" wrapText="1"/>
      <protection hidden="1"/>
    </xf>
    <xf numFmtId="1" fontId="21" fillId="8" borderId="0" xfId="0" applyNumberFormat="1" applyFont="1" applyFill="1" applyBorder="1" applyAlignment="1" applyProtection="1">
      <alignment horizontal="left" vertical="center" wrapText="1"/>
      <protection hidden="1"/>
    </xf>
    <xf numFmtId="0" fontId="21" fillId="8" borderId="11" xfId="0" applyFont="1" applyFill="1" applyBorder="1" applyAlignment="1" applyProtection="1">
      <alignment vertical="center" wrapText="1"/>
      <protection locked="0"/>
    </xf>
    <xf numFmtId="0" fontId="21" fillId="8" borderId="11" xfId="0" applyFont="1" applyFill="1" applyBorder="1" applyAlignment="1" applyProtection="1">
      <alignment vertical="center" wrapText="1"/>
      <protection hidden="1"/>
    </xf>
    <xf numFmtId="0" fontId="21" fillId="8" borderId="0" xfId="0" applyFont="1" applyFill="1" applyBorder="1" applyAlignment="1" applyProtection="1">
      <alignment vertical="center" wrapText="1"/>
      <protection locked="0"/>
    </xf>
    <xf numFmtId="0" fontId="21" fillId="8" borderId="0" xfId="0" applyFont="1" applyFill="1" applyBorder="1" applyAlignment="1" applyProtection="1">
      <alignment vertical="center" wrapText="1"/>
      <protection hidden="1"/>
    </xf>
    <xf numFmtId="0" fontId="21" fillId="8" borderId="0" xfId="0" applyFont="1" applyFill="1" applyBorder="1" applyAlignment="1" applyProtection="1">
      <alignment horizontal="left" vertical="center" wrapText="1"/>
      <protection hidden="1"/>
    </xf>
    <xf numFmtId="0" fontId="21" fillId="8" borderId="32" xfId="0" applyFont="1" applyFill="1" applyBorder="1" applyProtection="1">
      <protection locked="0"/>
    </xf>
    <xf numFmtId="0" fontId="24" fillId="8" borderId="33" xfId="0" applyNumberFormat="1" applyFont="1" applyFill="1" applyBorder="1" applyAlignment="1" applyProtection="1">
      <alignment wrapText="1"/>
      <protection locked="0"/>
    </xf>
    <xf numFmtId="0" fontId="21" fillId="8" borderId="33" xfId="0" applyFont="1" applyFill="1" applyBorder="1" applyProtection="1">
      <protection locked="0"/>
    </xf>
    <xf numFmtId="0" fontId="24" fillId="8" borderId="33" xfId="0" applyFont="1" applyFill="1" applyBorder="1" applyAlignment="1" applyProtection="1">
      <alignment horizontal="left"/>
      <protection locked="0"/>
    </xf>
    <xf numFmtId="0" fontId="21" fillId="8" borderId="30" xfId="0" applyFont="1" applyFill="1" applyBorder="1" applyProtection="1">
      <protection locked="0"/>
    </xf>
    <xf numFmtId="0" fontId="21" fillId="8" borderId="1" xfId="0" applyFont="1" applyFill="1" applyBorder="1" applyProtection="1">
      <protection locked="0"/>
    </xf>
    <xf numFmtId="0" fontId="21" fillId="8" borderId="10" xfId="0" applyFont="1" applyFill="1" applyBorder="1" applyProtection="1">
      <protection locked="0"/>
    </xf>
    <xf numFmtId="0" fontId="21" fillId="8" borderId="31" xfId="0" applyFont="1" applyFill="1" applyBorder="1" applyProtection="1">
      <protection locked="0"/>
    </xf>
    <xf numFmtId="0" fontId="24" fillId="16" borderId="7" xfId="0" applyFont="1" applyFill="1" applyBorder="1" applyAlignment="1" applyProtection="1">
      <alignment horizontal="center" vertical="center"/>
      <protection hidden="1"/>
    </xf>
    <xf numFmtId="0" fontId="21" fillId="16" borderId="7" xfId="0" applyFont="1" applyFill="1" applyBorder="1" applyAlignment="1" applyProtection="1">
      <alignment horizontal="left" vertical="center" wrapText="1" indent="1"/>
      <protection hidden="1"/>
    </xf>
    <xf numFmtId="0" fontId="21" fillId="16" borderId="7" xfId="0" applyFont="1" applyFill="1" applyBorder="1" applyAlignment="1" applyProtection="1">
      <alignment horizontal="center" vertical="center"/>
      <protection locked="0"/>
    </xf>
    <xf numFmtId="0" fontId="21" fillId="16" borderId="7" xfId="0" applyFont="1" applyFill="1" applyBorder="1" applyAlignment="1" applyProtection="1">
      <alignment horizontal="center" vertical="center" wrapText="1"/>
      <protection hidden="1"/>
    </xf>
    <xf numFmtId="0" fontId="21" fillId="16" borderId="7" xfId="0" applyFont="1" applyFill="1" applyBorder="1" applyAlignment="1" applyProtection="1">
      <alignment horizontal="left" vertical="center" wrapText="1"/>
      <protection locked="0"/>
    </xf>
    <xf numFmtId="0" fontId="0" fillId="16" borderId="7" xfId="0" applyFill="1" applyBorder="1" applyAlignment="1" applyProtection="1">
      <alignment vertical="center"/>
      <protection locked="0"/>
    </xf>
    <xf numFmtId="0" fontId="21" fillId="16" borderId="7" xfId="0" applyFont="1" applyFill="1" applyBorder="1" applyAlignment="1" applyProtection="1">
      <alignment horizontal="left" vertical="center" wrapText="1"/>
      <protection hidden="1"/>
    </xf>
    <xf numFmtId="0" fontId="21" fillId="16" borderId="7" xfId="0" applyFont="1" applyFill="1" applyBorder="1" applyAlignment="1" applyProtection="1">
      <alignment vertical="center" wrapText="1"/>
      <protection locked="0"/>
    </xf>
    <xf numFmtId="0" fontId="23" fillId="17" borderId="7" xfId="0" applyFont="1" applyFill="1" applyBorder="1" applyAlignment="1" applyProtection="1">
      <alignment horizontal="center" vertical="center"/>
      <protection hidden="1"/>
    </xf>
    <xf numFmtId="0" fontId="23" fillId="17" borderId="7" xfId="0" applyFont="1" applyFill="1" applyBorder="1" applyAlignment="1" applyProtection="1">
      <alignment horizontal="center" vertical="center" wrapText="1"/>
      <protection hidden="1"/>
    </xf>
    <xf numFmtId="1" fontId="23" fillId="17" borderId="7" xfId="0" applyNumberFormat="1" applyFont="1" applyFill="1" applyBorder="1" applyAlignment="1" applyProtection="1">
      <alignment horizontal="center" vertical="center" wrapText="1"/>
      <protection hidden="1"/>
    </xf>
    <xf numFmtId="0" fontId="13" fillId="14" borderId="7" xfId="0" applyFont="1" applyFill="1" applyBorder="1" applyAlignment="1" applyProtection="1">
      <alignment vertical="center" wrapText="1"/>
      <protection locked="0"/>
    </xf>
    <xf numFmtId="0" fontId="13" fillId="14" borderId="7" xfId="0" applyFont="1" applyFill="1" applyBorder="1" applyAlignment="1" applyProtection="1">
      <alignment horizontal="center" vertical="center" wrapText="1"/>
      <protection locked="0"/>
    </xf>
    <xf numFmtId="0" fontId="13" fillId="14" borderId="7" xfId="0" applyFont="1" applyFill="1" applyBorder="1" applyAlignment="1" applyProtection="1">
      <alignment horizontal="center" vertical="center" wrapText="1"/>
      <protection locked="0"/>
    </xf>
    <xf numFmtId="0" fontId="25" fillId="8" borderId="34" xfId="0" applyFont="1" applyFill="1" applyBorder="1" applyAlignment="1">
      <alignment horizontal="center" vertical="center"/>
    </xf>
    <xf numFmtId="0" fontId="23" fillId="15" borderId="26" xfId="0" applyFont="1" applyFill="1" applyBorder="1" applyAlignment="1">
      <alignment horizontal="center" vertical="center" wrapText="1"/>
    </xf>
    <xf numFmtId="0" fontId="23" fillId="15" borderId="29" xfId="0" applyFont="1" applyFill="1" applyBorder="1" applyAlignment="1">
      <alignment horizontal="center" vertical="center" wrapText="1"/>
    </xf>
    <xf numFmtId="0" fontId="23" fillId="15" borderId="8" xfId="0" applyFont="1" applyFill="1" applyBorder="1" applyAlignment="1">
      <alignment horizontal="center" vertical="center" wrapText="1"/>
    </xf>
    <xf numFmtId="0" fontId="23" fillId="15" borderId="25" xfId="0" applyFont="1" applyFill="1" applyBorder="1" applyAlignment="1">
      <alignment horizontal="center" vertical="center" wrapText="1"/>
    </xf>
    <xf numFmtId="0" fontId="23" fillId="15" borderId="28" xfId="0" applyFont="1" applyFill="1" applyBorder="1" applyAlignment="1">
      <alignment horizontal="center" vertical="center" wrapText="1"/>
    </xf>
    <xf numFmtId="0" fontId="23" fillId="15" borderId="7" xfId="0" applyFont="1" applyFill="1" applyBorder="1" applyAlignment="1">
      <alignment horizontal="center" vertical="center" wrapText="1"/>
    </xf>
    <xf numFmtId="0" fontId="23" fillId="17" borderId="7" xfId="0" applyFont="1" applyFill="1" applyBorder="1" applyAlignment="1" applyProtection="1">
      <alignment horizontal="center" vertical="center" wrapText="1"/>
      <protection hidden="1"/>
    </xf>
    <xf numFmtId="0" fontId="21" fillId="16" borderId="7" xfId="0" applyFont="1" applyFill="1" applyBorder="1" applyAlignment="1" applyProtection="1">
      <alignment horizontal="center" vertical="center" wrapText="1"/>
      <protection hidden="1"/>
    </xf>
    <xf numFmtId="0" fontId="21" fillId="8" borderId="0" xfId="0" applyFont="1" applyFill="1" applyBorder="1" applyAlignment="1" applyProtection="1">
      <alignment horizontal="center" vertical="center" wrapText="1"/>
      <protection locked="0"/>
    </xf>
    <xf numFmtId="0" fontId="23" fillId="17" borderId="7" xfId="0" applyNumberFormat="1" applyFont="1" applyFill="1" applyBorder="1" applyAlignment="1" applyProtection="1">
      <alignment horizontal="center" vertical="center" wrapText="1"/>
      <protection hidden="1"/>
    </xf>
    <xf numFmtId="0" fontId="21" fillId="8" borderId="0" xfId="0" applyFont="1" applyFill="1" applyBorder="1" applyAlignment="1" applyProtection="1">
      <alignment horizontal="center" wrapText="1"/>
      <protection locked="0"/>
    </xf>
    <xf numFmtId="0" fontId="24" fillId="8" borderId="33" xfId="0" applyFont="1" applyFill="1" applyBorder="1" applyAlignment="1" applyProtection="1">
      <alignment horizontal="center"/>
      <protection locked="0"/>
    </xf>
    <xf numFmtId="0" fontId="0" fillId="0" borderId="23" xfId="0" applyBorder="1" applyAlignment="1">
      <alignment horizontal="center"/>
    </xf>
    <xf numFmtId="0" fontId="0" fillId="14" borderId="3" xfId="0" applyFont="1" applyFill="1" applyBorder="1" applyAlignment="1">
      <alignment horizontal="center" vertical="center" textRotation="90"/>
    </xf>
    <xf numFmtId="0" fontId="0" fillId="14" borderId="14" xfId="0" applyFont="1" applyFill="1" applyBorder="1" applyAlignment="1">
      <alignment horizontal="center" vertical="center" textRotation="90"/>
    </xf>
    <xf numFmtId="0" fontId="0" fillId="14" borderId="15" xfId="0" applyFont="1" applyFill="1" applyBorder="1" applyAlignment="1">
      <alignment horizontal="center" vertical="center" textRotation="90"/>
    </xf>
    <xf numFmtId="0" fontId="26" fillId="0" borderId="13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0" fillId="14" borderId="13" xfId="0" applyFont="1" applyFill="1" applyBorder="1" applyAlignment="1">
      <alignment horizontal="center" vertical="center" wrapText="1"/>
    </xf>
    <xf numFmtId="0" fontId="0" fillId="14" borderId="35" xfId="0" applyFont="1" applyFill="1" applyBorder="1" applyAlignment="1">
      <alignment horizontal="center" vertical="center" wrapText="1"/>
    </xf>
    <xf numFmtId="0" fontId="0" fillId="14" borderId="16" xfId="0" applyFont="1" applyFill="1" applyBorder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textRotation="90"/>
    </xf>
    <xf numFmtId="0" fontId="0" fillId="0" borderId="14" xfId="0" applyFont="1" applyBorder="1" applyAlignment="1">
      <alignment horizontal="center" vertical="center" textRotation="90"/>
    </xf>
    <xf numFmtId="0" fontId="0" fillId="0" borderId="15" xfId="0" applyFont="1" applyBorder="1" applyAlignment="1">
      <alignment horizontal="center" vertical="center" textRotation="90"/>
    </xf>
    <xf numFmtId="0" fontId="29" fillId="20" borderId="0" xfId="0" applyFont="1" applyFill="1" applyAlignment="1">
      <alignment horizontal="center" vertical="center"/>
    </xf>
    <xf numFmtId="0" fontId="16" fillId="0" borderId="26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2" fontId="16" fillId="0" borderId="25" xfId="0" applyNumberFormat="1" applyFont="1" applyBorder="1" applyAlignment="1">
      <alignment horizontal="center" vertical="center" textRotation="90"/>
    </xf>
    <xf numFmtId="2" fontId="16" fillId="0" borderId="27" xfId="0" applyNumberFormat="1" applyFont="1" applyBorder="1" applyAlignment="1">
      <alignment horizontal="center" vertical="center" textRotation="90"/>
    </xf>
    <xf numFmtId="2" fontId="16" fillId="0" borderId="28" xfId="0" applyNumberFormat="1" applyFont="1" applyBorder="1" applyAlignment="1">
      <alignment horizontal="center" vertical="center" textRotation="90"/>
    </xf>
    <xf numFmtId="0" fontId="0" fillId="0" borderId="17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177" fontId="16" fillId="14" borderId="26" xfId="2" applyFont="1" applyFill="1" applyBorder="1" applyAlignment="1">
      <alignment horizontal="center"/>
    </xf>
    <xf numFmtId="177" fontId="16" fillId="14" borderId="29" xfId="2" applyFont="1" applyFill="1" applyBorder="1" applyAlignment="1">
      <alignment horizontal="center"/>
    </xf>
    <xf numFmtId="177" fontId="16" fillId="14" borderId="8" xfId="2" applyFont="1" applyFill="1" applyBorder="1" applyAlignment="1">
      <alignment horizontal="center"/>
    </xf>
    <xf numFmtId="0" fontId="16" fillId="21" borderId="25" xfId="0" applyFont="1" applyFill="1" applyBorder="1" applyAlignment="1">
      <alignment horizontal="left" vertical="center"/>
    </xf>
    <xf numFmtId="0" fontId="16" fillId="21" borderId="28" xfId="0" applyFont="1" applyFill="1" applyBorder="1" applyAlignment="1">
      <alignment horizontal="left" vertical="center"/>
    </xf>
    <xf numFmtId="0" fontId="18" fillId="3" borderId="26" xfId="0" applyFont="1" applyFill="1" applyBorder="1" applyAlignment="1">
      <alignment horizontal="center"/>
    </xf>
    <xf numFmtId="0" fontId="18" fillId="3" borderId="8" xfId="0" applyFont="1" applyFill="1" applyBorder="1" applyAlignment="1">
      <alignment horizontal="center"/>
    </xf>
    <xf numFmtId="177" fontId="16" fillId="5" borderId="26" xfId="2" applyFont="1" applyFill="1" applyBorder="1" applyAlignment="1">
      <alignment horizontal="center"/>
    </xf>
    <xf numFmtId="177" fontId="16" fillId="5" borderId="29" xfId="2" applyFont="1" applyFill="1" applyBorder="1" applyAlignment="1">
      <alignment horizontal="center"/>
    </xf>
    <xf numFmtId="177" fontId="16" fillId="5" borderId="8" xfId="2" applyFont="1" applyFill="1" applyBorder="1" applyAlignment="1">
      <alignment horizontal="center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2" borderId="18" xfId="0" applyFill="1" applyBorder="1" applyAlignment="1">
      <alignment horizontal="left" vertical="top" wrapText="1"/>
    </xf>
    <xf numFmtId="0" fontId="0" fillId="2" borderId="19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0" fillId="2" borderId="23" xfId="0" applyFill="1" applyBorder="1" applyAlignment="1">
      <alignment horizontal="left" vertical="top" wrapText="1"/>
    </xf>
    <xf numFmtId="0" fontId="0" fillId="2" borderId="24" xfId="0" applyFill="1" applyBorder="1" applyAlignment="1">
      <alignment horizontal="left" vertical="top" wrapText="1"/>
    </xf>
    <xf numFmtId="0" fontId="27" fillId="18" borderId="18" xfId="0" applyFont="1" applyFill="1" applyBorder="1" applyAlignment="1">
      <alignment horizontal="left" wrapText="1"/>
    </xf>
    <xf numFmtId="0" fontId="27" fillId="18" borderId="19" xfId="0" applyFont="1" applyFill="1" applyBorder="1" applyAlignment="1">
      <alignment horizontal="left" wrapText="1"/>
    </xf>
    <xf numFmtId="0" fontId="27" fillId="18" borderId="23" xfId="0" applyFont="1" applyFill="1" applyBorder="1" applyAlignment="1">
      <alignment horizontal="left" wrapText="1"/>
    </xf>
    <xf numFmtId="0" fontId="27" fillId="18" borderId="24" xfId="0" applyFont="1" applyFill="1" applyBorder="1" applyAlignment="1">
      <alignment horizontal="left" wrapText="1"/>
    </xf>
    <xf numFmtId="0" fontId="0" fillId="2" borderId="26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0" fillId="19" borderId="27" xfId="0" applyFont="1" applyFill="1" applyBorder="1" applyAlignment="1">
      <alignment horizontal="left" vertical="center" wrapText="1"/>
    </xf>
    <xf numFmtId="0" fontId="20" fillId="19" borderId="28" xfId="0" applyFont="1" applyFill="1" applyBorder="1" applyAlignment="1">
      <alignment horizontal="left" vertical="center" wrapText="1"/>
    </xf>
    <xf numFmtId="0" fontId="20" fillId="19" borderId="27" xfId="0" applyFont="1" applyFill="1" applyBorder="1" applyAlignment="1">
      <alignment horizontal="center" vertical="center" wrapText="1"/>
    </xf>
    <xf numFmtId="0" fontId="20" fillId="19" borderId="28" xfId="0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left" vertical="center" wrapText="1"/>
    </xf>
    <xf numFmtId="0" fontId="28" fillId="11" borderId="28" xfId="0" applyFont="1" applyFill="1" applyBorder="1" applyAlignment="1">
      <alignment horizontal="left" vertical="center" wrapText="1"/>
    </xf>
    <xf numFmtId="0" fontId="28" fillId="11" borderId="25" xfId="0" applyFont="1" applyFill="1" applyBorder="1" applyAlignment="1">
      <alignment horizontal="center" vertical="center" wrapText="1"/>
    </xf>
    <xf numFmtId="0" fontId="28" fillId="11" borderId="28" xfId="0" applyFont="1" applyFill="1" applyBorder="1" applyAlignment="1">
      <alignment horizontal="center" vertical="center" wrapText="1"/>
    </xf>
    <xf numFmtId="0" fontId="16" fillId="13" borderId="17" xfId="0" applyFont="1" applyFill="1" applyBorder="1" applyAlignment="1">
      <alignment horizontal="center" vertical="center"/>
    </xf>
    <xf numFmtId="0" fontId="16" fillId="13" borderId="18" xfId="0" applyFont="1" applyFill="1" applyBorder="1" applyAlignment="1">
      <alignment horizontal="center" vertical="center"/>
    </xf>
    <xf numFmtId="0" fontId="16" fillId="13" borderId="19" xfId="0" applyFont="1" applyFill="1" applyBorder="1" applyAlignment="1">
      <alignment horizontal="center" vertical="center"/>
    </xf>
    <xf numFmtId="0" fontId="16" fillId="13" borderId="22" xfId="0" applyFont="1" applyFill="1" applyBorder="1" applyAlignment="1">
      <alignment horizontal="center" vertical="center"/>
    </xf>
    <xf numFmtId="0" fontId="16" fillId="13" borderId="23" xfId="0" applyFont="1" applyFill="1" applyBorder="1" applyAlignment="1">
      <alignment horizontal="center" vertical="center"/>
    </xf>
    <xf numFmtId="0" fontId="16" fillId="13" borderId="24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/>
    </xf>
    <xf numFmtId="0" fontId="0" fillId="3" borderId="29" xfId="0" applyFont="1" applyFill="1" applyBorder="1" applyAlignment="1">
      <alignment horizontal="center"/>
    </xf>
    <xf numFmtId="0" fontId="0" fillId="2" borderId="2" xfId="0" applyFont="1" applyFill="1" applyBorder="1" applyAlignment="1" applyProtection="1">
      <alignment horizontal="center"/>
      <protection hidden="1"/>
    </xf>
    <xf numFmtId="0" fontId="0" fillId="2" borderId="7" xfId="0" applyFont="1" applyFill="1" applyBorder="1" applyAlignment="1" applyProtection="1">
      <alignment horizontal="center"/>
      <protection hidden="1"/>
    </xf>
    <xf numFmtId="0" fontId="0" fillId="2" borderId="26" xfId="0" applyFont="1" applyFill="1" applyBorder="1" applyAlignment="1" applyProtection="1">
      <alignment horizontal="center"/>
      <protection hidden="1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2" borderId="29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12" xfId="0" applyFont="1" applyFill="1" applyBorder="1" applyAlignment="1" applyProtection="1">
      <alignment horizontal="center"/>
      <protection hidden="1"/>
    </xf>
    <xf numFmtId="0" fontId="0" fillId="2" borderId="29" xfId="0" applyFont="1" applyFill="1" applyBorder="1" applyAlignment="1" applyProtection="1">
      <alignment horizontal="center"/>
      <protection hidden="1"/>
    </xf>
    <xf numFmtId="0" fontId="0" fillId="2" borderId="8" xfId="0" applyFont="1" applyFill="1" applyBorder="1" applyAlignment="1" applyProtection="1">
      <alignment horizontal="center"/>
      <protection hidden="1"/>
    </xf>
    <xf numFmtId="0" fontId="17" fillId="3" borderId="12" xfId="0" applyFont="1" applyFill="1" applyBorder="1" applyAlignment="1" applyProtection="1">
      <alignment horizontal="center"/>
      <protection hidden="1"/>
    </xf>
    <xf numFmtId="0" fontId="17" fillId="3" borderId="29" xfId="0" applyFont="1" applyFill="1" applyBorder="1" applyAlignment="1" applyProtection="1">
      <alignment horizontal="center"/>
      <protection hidden="1"/>
    </xf>
    <xf numFmtId="0" fontId="17" fillId="3" borderId="40" xfId="0" applyFont="1" applyFill="1" applyBorder="1" applyAlignment="1" applyProtection="1">
      <alignment horizontal="center"/>
      <protection hidden="1"/>
    </xf>
    <xf numFmtId="0" fontId="0" fillId="7" borderId="2" xfId="0" applyFont="1" applyFill="1" applyBorder="1" applyAlignment="1">
      <alignment horizontal="center" vertical="center"/>
    </xf>
    <xf numFmtId="0" fontId="0" fillId="7" borderId="7" xfId="0" applyFont="1" applyFill="1" applyBorder="1" applyAlignment="1">
      <alignment horizontal="center" vertical="center"/>
    </xf>
    <xf numFmtId="0" fontId="0" fillId="7" borderId="26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30" fillId="4" borderId="13" xfId="0" applyFont="1" applyFill="1" applyBorder="1" applyAlignment="1">
      <alignment horizontal="center"/>
    </xf>
    <xf numFmtId="0" fontId="30" fillId="4" borderId="35" xfId="0" applyFont="1" applyFill="1" applyBorder="1" applyAlignment="1">
      <alignment horizontal="center"/>
    </xf>
    <xf numFmtId="0" fontId="30" fillId="4" borderId="16" xfId="0" applyFont="1" applyFill="1" applyBorder="1" applyAlignment="1">
      <alignment horizontal="center"/>
    </xf>
    <xf numFmtId="0" fontId="27" fillId="6" borderId="37" xfId="0" applyFont="1" applyFill="1" applyBorder="1" applyAlignment="1">
      <alignment horizontal="center" vertical="center"/>
    </xf>
    <xf numFmtId="0" fontId="27" fillId="6" borderId="38" xfId="0" applyFont="1" applyFill="1" applyBorder="1" applyAlignment="1">
      <alignment horizontal="center" vertical="center"/>
    </xf>
    <xf numFmtId="0" fontId="27" fillId="6" borderId="39" xfId="0" applyFont="1" applyFill="1" applyBorder="1" applyAlignment="1">
      <alignment horizontal="center" vertical="center"/>
    </xf>
    <xf numFmtId="0" fontId="0" fillId="14" borderId="36" xfId="0" applyFill="1" applyBorder="1" applyAlignment="1">
      <alignment horizontal="center" vertical="center" wrapText="1"/>
    </xf>
    <xf numFmtId="0" fontId="0" fillId="14" borderId="9" xfId="0" applyFill="1" applyBorder="1" applyAlignment="1">
      <alignment horizontal="center" vertical="center" wrapText="1"/>
    </xf>
    <xf numFmtId="0" fontId="27" fillId="7" borderId="37" xfId="0" applyFont="1" applyFill="1" applyBorder="1" applyAlignment="1">
      <alignment horizontal="center" vertical="center"/>
    </xf>
    <xf numFmtId="0" fontId="27" fillId="7" borderId="38" xfId="0" applyFont="1" applyFill="1" applyBorder="1" applyAlignment="1">
      <alignment horizontal="center" vertical="center"/>
    </xf>
    <xf numFmtId="0" fontId="27" fillId="7" borderId="39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17" fillId="3" borderId="2" xfId="0" applyFont="1" applyFill="1" applyBorder="1" applyAlignment="1" applyProtection="1">
      <alignment horizontal="center"/>
      <protection hidden="1"/>
    </xf>
    <xf numFmtId="0" fontId="17" fillId="3" borderId="7" xfId="0" applyFont="1" applyFill="1" applyBorder="1" applyAlignment="1" applyProtection="1">
      <alignment horizontal="center"/>
      <protection hidden="1"/>
    </xf>
    <xf numFmtId="0" fontId="17" fillId="3" borderId="26" xfId="0" applyFont="1" applyFill="1" applyBorder="1" applyAlignment="1" applyProtection="1">
      <alignment horizontal="center"/>
      <protection hidden="1"/>
    </xf>
  </cellXfs>
  <cellStyles count="3">
    <cellStyle name="Comma" xfId="2" builtinId="3"/>
    <cellStyle name="Normal" xfId="0" builtinId="0"/>
    <cellStyle name="Percent" xfId="1" builtinId="5"/>
  </cellStyles>
  <dxfs count="85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3B11-9C8B-46C9-857A-BA979F18D8A3}">
  <dimension ref="B1:L38"/>
  <sheetViews>
    <sheetView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5" sqref="F5"/>
    </sheetView>
  </sheetViews>
  <sheetFormatPr defaultColWidth="9.109375" defaultRowHeight="11.4" x14ac:dyDescent="0.3"/>
  <cols>
    <col min="1" max="1" width="6.33203125" style="207" customWidth="1"/>
    <col min="2" max="2" width="5.44140625" style="207" customWidth="1"/>
    <col min="3" max="3" width="20.33203125" style="209" customWidth="1"/>
    <col min="4" max="4" width="67.109375" style="209" customWidth="1"/>
    <col min="5" max="5" width="71" style="182" customWidth="1"/>
    <col min="6" max="6" width="71.6640625" style="182" customWidth="1"/>
    <col min="7" max="7" width="20" style="182" customWidth="1"/>
    <col min="8" max="8" width="15.88671875" style="182" hidden="1" customWidth="1"/>
    <col min="9" max="9" width="14.88671875" style="209" customWidth="1"/>
    <col min="10" max="10" width="27.109375" style="209" hidden="1" customWidth="1"/>
    <col min="11" max="11" width="38.88671875" style="209" customWidth="1"/>
    <col min="12" max="12" width="5.5546875" style="207" customWidth="1"/>
    <col min="13" max="16384" width="9.109375" style="207"/>
  </cols>
  <sheetData>
    <row r="1" spans="2:12" ht="12" thickBot="1" x14ac:dyDescent="0.35"/>
    <row r="2" spans="2:12" ht="24" customHeight="1" x14ac:dyDescent="0.3">
      <c r="B2" s="222"/>
      <c r="C2" s="261"/>
      <c r="D2" s="261"/>
      <c r="E2" s="261"/>
      <c r="F2" s="261"/>
      <c r="G2" s="261"/>
      <c r="H2" s="261"/>
      <c r="I2" s="261"/>
      <c r="J2" s="261"/>
      <c r="K2" s="261"/>
      <c r="L2" s="212"/>
    </row>
    <row r="3" spans="2:12" s="208" customFormat="1" ht="26.25" customHeight="1" x14ac:dyDescent="0.3">
      <c r="B3" s="223"/>
      <c r="C3" s="267" t="s">
        <v>115</v>
      </c>
      <c r="D3" s="262" t="s">
        <v>121</v>
      </c>
      <c r="E3" s="263"/>
      <c r="F3" s="264"/>
      <c r="G3" s="265" t="s">
        <v>134</v>
      </c>
      <c r="H3" s="218"/>
      <c r="I3" s="265" t="s">
        <v>116</v>
      </c>
      <c r="J3" s="227"/>
      <c r="K3" s="265" t="s">
        <v>126</v>
      </c>
      <c r="L3" s="213"/>
    </row>
    <row r="4" spans="2:12" s="208" customFormat="1" ht="30" customHeight="1" x14ac:dyDescent="0.3">
      <c r="B4" s="223"/>
      <c r="C4" s="267"/>
      <c r="D4" s="226" t="s">
        <v>124</v>
      </c>
      <c r="E4" s="226" t="s">
        <v>122</v>
      </c>
      <c r="F4" s="226" t="s">
        <v>125</v>
      </c>
      <c r="G4" s="266"/>
      <c r="H4" s="219"/>
      <c r="I4" s="266"/>
      <c r="J4" s="228"/>
      <c r="K4" s="266"/>
      <c r="L4" s="213"/>
    </row>
    <row r="5" spans="2:12" ht="52.95" customHeight="1" x14ac:dyDescent="0.3">
      <c r="B5" s="224"/>
      <c r="C5" s="260"/>
      <c r="D5" s="258" t="s">
        <v>141</v>
      </c>
      <c r="E5" s="258" t="s">
        <v>121</v>
      </c>
      <c r="F5" s="258" t="s">
        <v>142</v>
      </c>
      <c r="G5" s="187" t="s">
        <v>140</v>
      </c>
      <c r="H5" s="186">
        <f>IF(G5="Incluir na MAR", COUNTIF($G$5:G5, "Incluir na MAR"),"")</f>
        <v>1</v>
      </c>
      <c r="I5" s="220" t="str">
        <f t="shared" ref="I5:I10" si="0">IF(G5="Incluir na MAR", "E"&amp;H5,"")</f>
        <v>E1</v>
      </c>
      <c r="J5" s="220" t="str">
        <f t="shared" ref="J5:J10" si="1">E5</f>
        <v>Descrição do evento de risco</v>
      </c>
      <c r="K5" s="259"/>
      <c r="L5" s="211"/>
    </row>
    <row r="6" spans="2:12" ht="72" x14ac:dyDescent="0.3">
      <c r="B6" s="224"/>
      <c r="C6" s="260"/>
      <c r="D6" s="258"/>
      <c r="E6" s="258"/>
      <c r="F6" s="258"/>
      <c r="G6" s="187" t="s">
        <v>130</v>
      </c>
      <c r="H6" s="186" t="str">
        <f>IF(G6="Incluir na MAR", COUNTIF($G$5:G6, "Incluir na MAR"),"")</f>
        <v/>
      </c>
      <c r="I6" s="220" t="str">
        <f t="shared" si="0"/>
        <v/>
      </c>
      <c r="J6" s="220">
        <f t="shared" si="1"/>
        <v>0</v>
      </c>
      <c r="K6" s="259"/>
      <c r="L6" s="211"/>
    </row>
    <row r="7" spans="2:12" ht="39.9" customHeight="1" x14ac:dyDescent="0.3">
      <c r="B7" s="224"/>
      <c r="C7" s="260"/>
      <c r="D7" s="258"/>
      <c r="E7" s="258"/>
      <c r="F7" s="258"/>
      <c r="G7" s="187" t="s">
        <v>130</v>
      </c>
      <c r="H7" s="186" t="str">
        <f>IF(G7="Incluir na MAR", COUNTIF($G$5:G7, "Incluir na MAR"),"")</f>
        <v/>
      </c>
      <c r="I7" s="220" t="str">
        <f t="shared" si="0"/>
        <v/>
      </c>
      <c r="J7" s="220">
        <f t="shared" si="1"/>
        <v>0</v>
      </c>
      <c r="K7" s="259"/>
      <c r="L7" s="211"/>
    </row>
    <row r="8" spans="2:12" ht="39.9" customHeight="1" x14ac:dyDescent="0.3">
      <c r="B8" s="224"/>
      <c r="C8" s="260"/>
      <c r="D8" s="258"/>
      <c r="E8" s="258"/>
      <c r="F8" s="258"/>
      <c r="G8" s="187" t="s">
        <v>130</v>
      </c>
      <c r="H8" s="186" t="str">
        <f>IF(G8="Incluir na MAR", COUNTIF($G$5:G8, "Incluir na MAR"),"")</f>
        <v/>
      </c>
      <c r="I8" s="220" t="str">
        <f t="shared" si="0"/>
        <v/>
      </c>
      <c r="J8" s="220">
        <f t="shared" si="1"/>
        <v>0</v>
      </c>
      <c r="K8" s="259"/>
      <c r="L8" s="211"/>
    </row>
    <row r="9" spans="2:12" ht="39.9" customHeight="1" x14ac:dyDescent="0.3">
      <c r="B9" s="224"/>
      <c r="C9" s="260"/>
      <c r="D9" s="258"/>
      <c r="E9" s="258"/>
      <c r="F9" s="258"/>
      <c r="G9" s="187" t="s">
        <v>130</v>
      </c>
      <c r="H9" s="186" t="str">
        <f>IF(G9="Incluir na MAR", COUNTIF($G$5:G9, "Incluir na MAR"),"")</f>
        <v/>
      </c>
      <c r="I9" s="220" t="str">
        <f t="shared" si="0"/>
        <v/>
      </c>
      <c r="J9" s="220">
        <f t="shared" si="1"/>
        <v>0</v>
      </c>
      <c r="K9" s="259"/>
      <c r="L9" s="211"/>
    </row>
    <row r="10" spans="2:12" ht="39.9" customHeight="1" x14ac:dyDescent="0.3">
      <c r="B10" s="224"/>
      <c r="C10" s="260"/>
      <c r="D10" s="258"/>
      <c r="E10" s="258"/>
      <c r="F10" s="258"/>
      <c r="G10" s="187" t="s">
        <v>130</v>
      </c>
      <c r="H10" s="186" t="str">
        <f>IF(G10="Incluir na MAR", COUNTIF($G$5:G10, "Incluir na MAR"),"")</f>
        <v/>
      </c>
      <c r="I10" s="220" t="str">
        <f t="shared" si="0"/>
        <v/>
      </c>
      <c r="J10" s="220">
        <f t="shared" si="1"/>
        <v>0</v>
      </c>
      <c r="K10" s="259"/>
      <c r="L10" s="211"/>
    </row>
    <row r="11" spans="2:12" ht="21" customHeight="1" x14ac:dyDescent="0.3">
      <c r="B11" s="224"/>
      <c r="C11" s="221"/>
      <c r="D11" s="210"/>
      <c r="E11" s="210"/>
      <c r="F11" s="210"/>
      <c r="G11" s="210"/>
      <c r="H11" s="210"/>
      <c r="I11" s="210"/>
      <c r="J11" s="210"/>
      <c r="K11" s="210"/>
      <c r="L11" s="211"/>
    </row>
    <row r="12" spans="2:12" ht="39.9" customHeight="1" x14ac:dyDescent="0.3">
      <c r="B12" s="224"/>
      <c r="C12" s="260"/>
      <c r="D12" s="258"/>
      <c r="E12" s="258"/>
      <c r="F12" s="258"/>
      <c r="G12" s="187" t="s">
        <v>130</v>
      </c>
      <c r="H12" s="186" t="str">
        <f>IF(G12="Incluir na MAR", COUNTIF($G$5:G12, "Incluir na MAR"),"")</f>
        <v/>
      </c>
      <c r="I12" s="220" t="str">
        <f t="shared" ref="I12:I17" si="2">IF(G12="Incluir na MAR", "E"&amp;H12,"")</f>
        <v/>
      </c>
      <c r="J12" s="220">
        <f t="shared" ref="J12:J17" si="3">E12</f>
        <v>0</v>
      </c>
      <c r="K12" s="259"/>
      <c r="L12" s="211"/>
    </row>
    <row r="13" spans="2:12" ht="39.9" customHeight="1" x14ac:dyDescent="0.3">
      <c r="B13" s="224"/>
      <c r="C13" s="260"/>
      <c r="D13" s="258"/>
      <c r="E13" s="258"/>
      <c r="F13" s="258"/>
      <c r="G13" s="187" t="s">
        <v>130</v>
      </c>
      <c r="H13" s="186" t="str">
        <f>IF(G13="Incluir na MAR", COUNTIF($G$5:G13, "Incluir na MAR"),"")</f>
        <v/>
      </c>
      <c r="I13" s="220" t="str">
        <f t="shared" si="2"/>
        <v/>
      </c>
      <c r="J13" s="220">
        <f t="shared" si="3"/>
        <v>0</v>
      </c>
      <c r="K13" s="259"/>
      <c r="L13" s="211"/>
    </row>
    <row r="14" spans="2:12" ht="39.9" customHeight="1" x14ac:dyDescent="0.3">
      <c r="B14" s="224"/>
      <c r="C14" s="260"/>
      <c r="D14" s="258"/>
      <c r="E14" s="258"/>
      <c r="F14" s="258"/>
      <c r="G14" s="187" t="s">
        <v>130</v>
      </c>
      <c r="H14" s="186" t="str">
        <f>IF(G14="Incluir na MAR", COUNTIF($G$5:G14, "Incluir na MAR"),"")</f>
        <v/>
      </c>
      <c r="I14" s="220" t="str">
        <f t="shared" si="2"/>
        <v/>
      </c>
      <c r="J14" s="220">
        <f t="shared" si="3"/>
        <v>0</v>
      </c>
      <c r="K14" s="259"/>
      <c r="L14" s="211"/>
    </row>
    <row r="15" spans="2:12" ht="39.9" customHeight="1" x14ac:dyDescent="0.3">
      <c r="B15" s="224"/>
      <c r="C15" s="260"/>
      <c r="D15" s="258"/>
      <c r="E15" s="258"/>
      <c r="F15" s="258"/>
      <c r="G15" s="187" t="s">
        <v>130</v>
      </c>
      <c r="H15" s="186" t="str">
        <f>IF(G15="Incluir na MAR", COUNTIF($G$5:G15, "Incluir na MAR"),"")</f>
        <v/>
      </c>
      <c r="I15" s="220" t="str">
        <f t="shared" si="2"/>
        <v/>
      </c>
      <c r="J15" s="220">
        <f t="shared" si="3"/>
        <v>0</v>
      </c>
      <c r="K15" s="259"/>
      <c r="L15" s="211"/>
    </row>
    <row r="16" spans="2:12" ht="39.9" customHeight="1" x14ac:dyDescent="0.3">
      <c r="B16" s="224"/>
      <c r="C16" s="260"/>
      <c r="D16" s="258"/>
      <c r="E16" s="258"/>
      <c r="F16" s="258"/>
      <c r="G16" s="187" t="s">
        <v>130</v>
      </c>
      <c r="H16" s="186" t="str">
        <f>IF(G16="Incluir na MAR", COUNTIF($G$5:G16, "Incluir na MAR"),"")</f>
        <v/>
      </c>
      <c r="I16" s="220" t="str">
        <f t="shared" si="2"/>
        <v/>
      </c>
      <c r="J16" s="220">
        <f t="shared" si="3"/>
        <v>0</v>
      </c>
      <c r="K16" s="259"/>
      <c r="L16" s="211"/>
    </row>
    <row r="17" spans="2:12" ht="39.9" customHeight="1" x14ac:dyDescent="0.3">
      <c r="B17" s="224"/>
      <c r="C17" s="260"/>
      <c r="D17" s="258"/>
      <c r="E17" s="258"/>
      <c r="F17" s="258"/>
      <c r="G17" s="187" t="s">
        <v>130</v>
      </c>
      <c r="H17" s="186" t="str">
        <f>IF(G17="Incluir na MAR", COUNTIF($G$5:G17, "Incluir na MAR"),"")</f>
        <v/>
      </c>
      <c r="I17" s="220" t="str">
        <f t="shared" si="2"/>
        <v/>
      </c>
      <c r="J17" s="220">
        <f t="shared" si="3"/>
        <v>0</v>
      </c>
      <c r="K17" s="259"/>
      <c r="L17" s="211"/>
    </row>
    <row r="18" spans="2:12" ht="21" customHeight="1" x14ac:dyDescent="0.3">
      <c r="B18" s="224"/>
      <c r="D18" s="182"/>
      <c r="E18" s="207"/>
      <c r="I18" s="182"/>
      <c r="J18" s="182"/>
      <c r="K18" s="182"/>
      <c r="L18" s="211"/>
    </row>
    <row r="19" spans="2:12" ht="39.9" customHeight="1" x14ac:dyDescent="0.3">
      <c r="B19" s="224"/>
      <c r="C19" s="260"/>
      <c r="D19" s="258"/>
      <c r="E19" s="258"/>
      <c r="F19" s="258"/>
      <c r="G19" s="187" t="s">
        <v>130</v>
      </c>
      <c r="H19" s="186" t="str">
        <f>IF(G19="Incluir na MAR", COUNTIF($G$5:G19, "Incluir na MAR"),"")</f>
        <v/>
      </c>
      <c r="I19" s="220" t="str">
        <f t="shared" ref="I19:I24" si="4">IF(G19="Incluir na MAR", "E"&amp;H19,"")</f>
        <v/>
      </c>
      <c r="J19" s="220">
        <f t="shared" ref="J19:J24" si="5">E19</f>
        <v>0</v>
      </c>
      <c r="K19" s="259"/>
      <c r="L19" s="211"/>
    </row>
    <row r="20" spans="2:12" ht="39.9" customHeight="1" x14ac:dyDescent="0.3">
      <c r="B20" s="224"/>
      <c r="C20" s="260"/>
      <c r="D20" s="258"/>
      <c r="E20" s="258"/>
      <c r="F20" s="258"/>
      <c r="G20" s="187" t="s">
        <v>130</v>
      </c>
      <c r="H20" s="186" t="str">
        <f>IF(G20="Incluir na MAR", COUNTIF($G$5:G20, "Incluir na MAR"),"")</f>
        <v/>
      </c>
      <c r="I20" s="220" t="str">
        <f t="shared" si="4"/>
        <v/>
      </c>
      <c r="J20" s="220">
        <f t="shared" si="5"/>
        <v>0</v>
      </c>
      <c r="K20" s="259"/>
      <c r="L20" s="211"/>
    </row>
    <row r="21" spans="2:12" ht="39.9" customHeight="1" x14ac:dyDescent="0.3">
      <c r="B21" s="224"/>
      <c r="C21" s="260"/>
      <c r="D21" s="258"/>
      <c r="E21" s="258"/>
      <c r="F21" s="258"/>
      <c r="G21" s="187" t="s">
        <v>130</v>
      </c>
      <c r="H21" s="186" t="str">
        <f>IF(G21="Incluir na MAR", COUNTIF($G$5:G21, "Incluir na MAR"),"")</f>
        <v/>
      </c>
      <c r="I21" s="220" t="str">
        <f t="shared" si="4"/>
        <v/>
      </c>
      <c r="J21" s="220">
        <f t="shared" si="5"/>
        <v>0</v>
      </c>
      <c r="K21" s="259"/>
      <c r="L21" s="211"/>
    </row>
    <row r="22" spans="2:12" ht="39.9" customHeight="1" x14ac:dyDescent="0.3">
      <c r="B22" s="224"/>
      <c r="C22" s="260"/>
      <c r="D22" s="258"/>
      <c r="E22" s="258"/>
      <c r="F22" s="258"/>
      <c r="G22" s="187" t="s">
        <v>130</v>
      </c>
      <c r="H22" s="186" t="str">
        <f>IF(G22="Incluir na MAR", COUNTIF($G$5:G22, "Incluir na MAR"),"")</f>
        <v/>
      </c>
      <c r="I22" s="220" t="str">
        <f t="shared" si="4"/>
        <v/>
      </c>
      <c r="J22" s="220">
        <f t="shared" si="5"/>
        <v>0</v>
      </c>
      <c r="K22" s="259"/>
      <c r="L22" s="211"/>
    </row>
    <row r="23" spans="2:12" ht="39.9" customHeight="1" x14ac:dyDescent="0.3">
      <c r="B23" s="224"/>
      <c r="C23" s="260"/>
      <c r="D23" s="258"/>
      <c r="E23" s="258"/>
      <c r="F23" s="258"/>
      <c r="G23" s="187" t="s">
        <v>130</v>
      </c>
      <c r="H23" s="186" t="str">
        <f>IF(G23="Incluir na MAR", COUNTIF($G$5:G23, "Incluir na MAR"),"")</f>
        <v/>
      </c>
      <c r="I23" s="220" t="str">
        <f t="shared" si="4"/>
        <v/>
      </c>
      <c r="J23" s="220">
        <f t="shared" si="5"/>
        <v>0</v>
      </c>
      <c r="K23" s="259"/>
      <c r="L23" s="211"/>
    </row>
    <row r="24" spans="2:12" ht="39.9" customHeight="1" x14ac:dyDescent="0.3">
      <c r="B24" s="224"/>
      <c r="C24" s="260"/>
      <c r="D24" s="258"/>
      <c r="E24" s="258"/>
      <c r="F24" s="258"/>
      <c r="G24" s="187" t="s">
        <v>130</v>
      </c>
      <c r="H24" s="186" t="str">
        <f>IF(G24="Incluir na MAR", COUNTIF($G$5:G24, "Incluir na MAR"),"")</f>
        <v/>
      </c>
      <c r="I24" s="220" t="str">
        <f t="shared" si="4"/>
        <v/>
      </c>
      <c r="J24" s="220">
        <f t="shared" si="5"/>
        <v>0</v>
      </c>
      <c r="K24" s="259"/>
      <c r="L24" s="211"/>
    </row>
    <row r="25" spans="2:12" ht="21" customHeight="1" x14ac:dyDescent="0.3">
      <c r="B25" s="224"/>
      <c r="D25" s="182"/>
      <c r="E25" s="207"/>
      <c r="I25" s="182"/>
      <c r="J25" s="182"/>
      <c r="K25" s="182"/>
      <c r="L25" s="211"/>
    </row>
    <row r="26" spans="2:12" ht="39.9" customHeight="1" x14ac:dyDescent="0.3">
      <c r="B26" s="224"/>
      <c r="C26" s="260"/>
      <c r="D26" s="258"/>
      <c r="E26" s="258"/>
      <c r="F26" s="258"/>
      <c r="G26" s="187" t="s">
        <v>130</v>
      </c>
      <c r="H26" s="186" t="str">
        <f>IF(G26="Incluir na MAR", COUNTIF($G$5:G26, "Incluir na MAR"),"")</f>
        <v/>
      </c>
      <c r="I26" s="220" t="str">
        <f t="shared" ref="I26:I31" si="6">IF(G26="Incluir na MAR", "E"&amp;H26,"")</f>
        <v/>
      </c>
      <c r="J26" s="220">
        <f t="shared" ref="J26:J31" si="7">E26</f>
        <v>0</v>
      </c>
      <c r="K26" s="259"/>
      <c r="L26" s="211"/>
    </row>
    <row r="27" spans="2:12" ht="39.9" customHeight="1" x14ac:dyDescent="0.3">
      <c r="B27" s="224"/>
      <c r="C27" s="260"/>
      <c r="D27" s="258"/>
      <c r="E27" s="258"/>
      <c r="F27" s="258"/>
      <c r="G27" s="187" t="s">
        <v>130</v>
      </c>
      <c r="H27" s="186" t="str">
        <f>IF(G27="Incluir na MAR", COUNTIF($G$5:G27, "Incluir na MAR"),"")</f>
        <v/>
      </c>
      <c r="I27" s="220" t="str">
        <f t="shared" si="6"/>
        <v/>
      </c>
      <c r="J27" s="220">
        <f t="shared" si="7"/>
        <v>0</v>
      </c>
      <c r="K27" s="259"/>
      <c r="L27" s="211"/>
    </row>
    <row r="28" spans="2:12" ht="39.9" customHeight="1" x14ac:dyDescent="0.3">
      <c r="B28" s="224"/>
      <c r="C28" s="260"/>
      <c r="D28" s="258"/>
      <c r="E28" s="258"/>
      <c r="F28" s="258"/>
      <c r="G28" s="187" t="s">
        <v>130</v>
      </c>
      <c r="H28" s="186" t="str">
        <f>IF(G28="Incluir na MAR", COUNTIF($G$5:G28, "Incluir na MAR"),"")</f>
        <v/>
      </c>
      <c r="I28" s="220" t="str">
        <f t="shared" si="6"/>
        <v/>
      </c>
      <c r="J28" s="220">
        <f t="shared" si="7"/>
        <v>0</v>
      </c>
      <c r="K28" s="259"/>
      <c r="L28" s="211"/>
    </row>
    <row r="29" spans="2:12" ht="39.9" customHeight="1" x14ac:dyDescent="0.3">
      <c r="B29" s="224"/>
      <c r="C29" s="260"/>
      <c r="D29" s="258"/>
      <c r="E29" s="258"/>
      <c r="F29" s="258"/>
      <c r="G29" s="187" t="s">
        <v>130</v>
      </c>
      <c r="H29" s="186" t="str">
        <f>IF(G29="Incluir na MAR", COUNTIF($G$5:G29, "Incluir na MAR"),"")</f>
        <v/>
      </c>
      <c r="I29" s="220" t="str">
        <f t="shared" si="6"/>
        <v/>
      </c>
      <c r="J29" s="220">
        <f t="shared" si="7"/>
        <v>0</v>
      </c>
      <c r="K29" s="259"/>
      <c r="L29" s="211"/>
    </row>
    <row r="30" spans="2:12" ht="39.9" customHeight="1" x14ac:dyDescent="0.3">
      <c r="B30" s="224"/>
      <c r="C30" s="260"/>
      <c r="D30" s="258"/>
      <c r="E30" s="258"/>
      <c r="F30" s="258"/>
      <c r="G30" s="187" t="s">
        <v>130</v>
      </c>
      <c r="H30" s="186" t="str">
        <f>IF(G30="Incluir na MAR", COUNTIF($G$5:G30, "Incluir na MAR"),"")</f>
        <v/>
      </c>
      <c r="I30" s="220" t="str">
        <f t="shared" si="6"/>
        <v/>
      </c>
      <c r="J30" s="220">
        <f t="shared" si="7"/>
        <v>0</v>
      </c>
      <c r="K30" s="259"/>
      <c r="L30" s="211"/>
    </row>
    <row r="31" spans="2:12" ht="39.9" customHeight="1" x14ac:dyDescent="0.3">
      <c r="B31" s="224"/>
      <c r="C31" s="260"/>
      <c r="D31" s="258"/>
      <c r="E31" s="258"/>
      <c r="F31" s="258"/>
      <c r="G31" s="187" t="s">
        <v>130</v>
      </c>
      <c r="H31" s="186" t="str">
        <f>IF(G31="Incluir na MAR", COUNTIF($G$5:G31, "Incluir na MAR"),"")</f>
        <v/>
      </c>
      <c r="I31" s="220" t="str">
        <f t="shared" si="6"/>
        <v/>
      </c>
      <c r="J31" s="220">
        <f t="shared" si="7"/>
        <v>0</v>
      </c>
      <c r="K31" s="259"/>
      <c r="L31" s="211"/>
    </row>
    <row r="32" spans="2:12" ht="21.9" customHeight="1" thickBot="1" x14ac:dyDescent="0.35">
      <c r="B32" s="225"/>
      <c r="C32" s="216"/>
      <c r="D32" s="214"/>
      <c r="E32" s="215"/>
      <c r="F32" s="215"/>
      <c r="G32" s="216"/>
      <c r="H32" s="216"/>
      <c r="I32" s="216"/>
      <c r="J32" s="216"/>
      <c r="K32" s="216"/>
      <c r="L32" s="217"/>
    </row>
    <row r="33" spans="4:8" ht="32.25" customHeight="1" x14ac:dyDescent="0.3">
      <c r="D33" s="207"/>
      <c r="E33" s="207"/>
      <c r="F33" s="207"/>
      <c r="G33" s="209"/>
      <c r="H33" s="209"/>
    </row>
    <row r="34" spans="4:8" ht="35.25" customHeight="1" x14ac:dyDescent="0.3">
      <c r="D34" s="207"/>
      <c r="E34" s="207"/>
      <c r="F34" s="207"/>
      <c r="G34" s="209"/>
      <c r="H34" s="209"/>
    </row>
    <row r="35" spans="4:8" ht="24.9" customHeight="1" x14ac:dyDescent="0.3">
      <c r="G35" s="209"/>
      <c r="H35" s="209"/>
    </row>
    <row r="36" spans="4:8" ht="24.9" customHeight="1" x14ac:dyDescent="0.3">
      <c r="G36" s="209"/>
      <c r="H36" s="209"/>
    </row>
    <row r="37" spans="4:8" ht="24.9" customHeight="1" x14ac:dyDescent="0.3">
      <c r="G37" s="209"/>
      <c r="H37" s="209"/>
    </row>
    <row r="38" spans="4:8" ht="24.9" customHeight="1" x14ac:dyDescent="0.3"/>
  </sheetData>
  <sheetProtection formatColumns="0" formatRows="0" insertRows="0"/>
  <mergeCells count="10">
    <mergeCell ref="C12:C17"/>
    <mergeCell ref="C19:C24"/>
    <mergeCell ref="C26:C31"/>
    <mergeCell ref="C2:K2"/>
    <mergeCell ref="D3:F3"/>
    <mergeCell ref="C5:C10"/>
    <mergeCell ref="I3:I4"/>
    <mergeCell ref="K3:K4"/>
    <mergeCell ref="C3:C4"/>
    <mergeCell ref="G3:G4"/>
  </mergeCells>
  <conditionalFormatting sqref="G32:J37 H5:H10">
    <cfRule type="containsText" dxfId="84" priority="19" stopIfTrue="1" operator="containsText" text="Não incluir na MAR">
      <formula>NOT(ISERROR(SEARCH("Não incluir na MAR",G5)))</formula>
    </cfRule>
    <cfRule type="containsText" dxfId="83" priority="20" stopIfTrue="1" operator="containsText" text="Incluir na MAR">
      <formula>NOT(ISERROR(SEARCH("Incluir na MAR",G5)))</formula>
    </cfRule>
  </conditionalFormatting>
  <conditionalFormatting sqref="H12:H17">
    <cfRule type="containsText" dxfId="82" priority="13" stopIfTrue="1" operator="containsText" text="Não incluir na MAR">
      <formula>NOT(ISERROR(SEARCH("Não incluir na MAR",H12)))</formula>
    </cfRule>
    <cfRule type="containsText" dxfId="81" priority="14" stopIfTrue="1" operator="containsText" text="Incluir na MAR">
      <formula>NOT(ISERROR(SEARCH("Incluir na MAR",H12)))</formula>
    </cfRule>
  </conditionalFormatting>
  <conditionalFormatting sqref="H19:H24">
    <cfRule type="containsText" dxfId="80" priority="9" stopIfTrue="1" operator="containsText" text="Não incluir na MAR">
      <formula>NOT(ISERROR(SEARCH("Não incluir na MAR",H19)))</formula>
    </cfRule>
    <cfRule type="containsText" dxfId="79" priority="10" stopIfTrue="1" operator="containsText" text="Incluir na MAR">
      <formula>NOT(ISERROR(SEARCH("Incluir na MAR",H19)))</formula>
    </cfRule>
  </conditionalFormatting>
  <conditionalFormatting sqref="H26:H31">
    <cfRule type="containsText" dxfId="78" priority="5" stopIfTrue="1" operator="containsText" text="Não incluir na MAR">
      <formula>NOT(ISERROR(SEARCH("Não incluir na MAR",H26)))</formula>
    </cfRule>
    <cfRule type="containsText" dxfId="77" priority="6" stopIfTrue="1" operator="containsText" text="Incluir na MAR">
      <formula>NOT(ISERROR(SEARCH("Incluir na MAR",H26)))</formula>
    </cfRule>
  </conditionalFormatting>
  <conditionalFormatting sqref="G5:G10 G12:G17 G19:G24 G26:G31">
    <cfRule type="cellIs" dxfId="76" priority="1" stopIfTrue="1" operator="equal">
      <formula>"Não incluir na MAR"</formula>
    </cfRule>
    <cfRule type="cellIs" dxfId="75" priority="2" stopIfTrue="1" operator="equal">
      <formula>"Incluir na MAR"</formula>
    </cfRule>
  </conditionalFormatting>
  <dataValidations count="1">
    <dataValidation type="list" allowBlank="1" showInputMessage="1" showErrorMessage="1" sqref="G12:G17 G5:G10 I32:J37 G19:G24 G26:G37" xr:uid="{FBFEA07D-834F-4B62-BFC5-4599969A3F49}">
      <formula1>"Incluir na MAR, Não Incluir na MAR"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926C9-BE42-4C67-ACC7-55FE2542A36F}">
  <sheetPr codeName="Plan1"/>
  <dimension ref="A1:P43"/>
  <sheetViews>
    <sheetView showGridLines="0" tabSelected="1" zoomScale="70" zoomScaleNormal="70" workbookViewId="0">
      <pane xSplit="5" ySplit="4" topLeftCell="I5" activePane="bottomRight" state="frozen"/>
      <selection activeCell="C1" sqref="C1"/>
      <selection pane="topRight" activeCell="F1" sqref="F1"/>
      <selection pane="bottomLeft" activeCell="C8" sqref="C8"/>
      <selection pane="bottomRight" activeCell="J7" sqref="J7"/>
    </sheetView>
  </sheetViews>
  <sheetFormatPr defaultColWidth="9.109375" defaultRowHeight="13.2" x14ac:dyDescent="0.25"/>
  <cols>
    <col min="1" max="1" width="9.109375" style="190"/>
    <col min="2" max="2" width="5.6640625" style="190" customWidth="1"/>
    <col min="3" max="3" width="15.6640625" style="190" customWidth="1"/>
    <col min="4" max="4" width="7.88671875" style="191" customWidth="1"/>
    <col min="5" max="5" width="59.44140625" style="192" customWidth="1"/>
    <col min="6" max="6" width="13.6640625" style="191" customWidth="1"/>
    <col min="7" max="7" width="15.6640625" style="191" customWidth="1"/>
    <col min="8" max="8" width="15.6640625" style="193" customWidth="1"/>
    <col min="9" max="9" width="57.5546875" style="194" customWidth="1"/>
    <col min="10" max="10" width="17.5546875" style="193" customWidth="1"/>
    <col min="11" max="11" width="17.109375" style="195" customWidth="1"/>
    <col min="12" max="12" width="33" style="190" customWidth="1"/>
    <col min="13" max="13" width="36.6640625" style="190" customWidth="1"/>
    <col min="14" max="14" width="19" style="190" customWidth="1"/>
    <col min="15" max="15" width="47" style="196" customWidth="1"/>
    <col min="16" max="16" width="5.6640625" style="190" customWidth="1"/>
    <col min="17" max="17" width="9.109375" style="190" customWidth="1"/>
    <col min="18" max="16384" width="9.109375" style="190"/>
  </cols>
  <sheetData>
    <row r="1" spans="1:16" ht="30" customHeight="1" thickBot="1" x14ac:dyDescent="0.3"/>
    <row r="2" spans="1:16" ht="15" customHeight="1" x14ac:dyDescent="0.25">
      <c r="B2" s="239"/>
      <c r="C2" s="240"/>
      <c r="D2" s="273"/>
      <c r="E2" s="273"/>
      <c r="F2" s="273"/>
      <c r="G2" s="273"/>
      <c r="H2" s="273"/>
      <c r="I2" s="273"/>
      <c r="J2" s="273"/>
      <c r="K2" s="273"/>
      <c r="L2" s="241"/>
      <c r="M2" s="241"/>
      <c r="N2" s="241"/>
      <c r="O2" s="242"/>
      <c r="P2" s="243"/>
    </row>
    <row r="3" spans="1:16" ht="31.5" customHeight="1" x14ac:dyDescent="0.25">
      <c r="A3" s="197"/>
      <c r="B3" s="244"/>
      <c r="C3" s="271" t="s">
        <v>115</v>
      </c>
      <c r="D3" s="268" t="s">
        <v>135</v>
      </c>
      <c r="E3" s="268" t="s">
        <v>128</v>
      </c>
      <c r="F3" s="268" t="s">
        <v>25</v>
      </c>
      <c r="G3" s="268"/>
      <c r="H3" s="268"/>
      <c r="I3" s="268" t="s">
        <v>118</v>
      </c>
      <c r="J3" s="268" t="s">
        <v>117</v>
      </c>
      <c r="K3" s="268"/>
      <c r="L3" s="268" t="s">
        <v>120</v>
      </c>
      <c r="M3" s="256" t="s">
        <v>132</v>
      </c>
      <c r="N3" s="268" t="s">
        <v>133</v>
      </c>
      <c r="O3" s="268" t="s">
        <v>129</v>
      </c>
      <c r="P3" s="198"/>
    </row>
    <row r="4" spans="1:16" ht="40.5" customHeight="1" x14ac:dyDescent="0.25">
      <c r="A4" s="197"/>
      <c r="B4" s="244"/>
      <c r="C4" s="271"/>
      <c r="D4" s="268"/>
      <c r="E4" s="268"/>
      <c r="F4" s="255" t="s">
        <v>9</v>
      </c>
      <c r="G4" s="256" t="s">
        <v>10</v>
      </c>
      <c r="H4" s="256" t="s">
        <v>123</v>
      </c>
      <c r="I4" s="268"/>
      <c r="J4" s="256" t="s">
        <v>12</v>
      </c>
      <c r="K4" s="257" t="s">
        <v>127</v>
      </c>
      <c r="L4" s="268"/>
      <c r="M4" s="256" t="s">
        <v>131</v>
      </c>
      <c r="N4" s="268"/>
      <c r="O4" s="268"/>
      <c r="P4" s="198"/>
    </row>
    <row r="5" spans="1:16" ht="60" customHeight="1" x14ac:dyDescent="0.25">
      <c r="A5" s="197"/>
      <c r="B5" s="244"/>
      <c r="C5" s="269">
        <f>'Identificação de Riscos'!C5:C10</f>
        <v>0</v>
      </c>
      <c r="D5" s="247" t="s">
        <v>136</v>
      </c>
      <c r="E5" s="248" t="str">
        <f>VLOOKUP(D5,'Identificação de Riscos'!$I$3:$K$31,2,FALSE)</f>
        <v>Descrição do evento de risco</v>
      </c>
      <c r="F5" s="249" t="s">
        <v>2</v>
      </c>
      <c r="G5" s="249" t="s">
        <v>8</v>
      </c>
      <c r="H5" s="250" t="str">
        <f>INDEX(Tabelas!$C$4:$G$8,MATCH('MAR e Definição de escopo'!F5,Tabelas!$B$4:$B$8,0),MATCH(G5,Tabelas!$C$3:$G$3,0))</f>
        <v>Extremo</v>
      </c>
      <c r="I5" s="251" t="s">
        <v>138</v>
      </c>
      <c r="J5" s="249" t="s">
        <v>16</v>
      </c>
      <c r="K5" s="250" t="str">
        <f>INDEX(Tabelas!$K$4:$O$7,MATCH(H5,Tabelas!$J$4:$J$7,0),MATCH(J5,Tabelas!$K$3:$O$3,0))</f>
        <v xml:space="preserve">Alto </v>
      </c>
      <c r="L5" s="252"/>
      <c r="M5" s="252"/>
      <c r="N5" s="252"/>
      <c r="O5" s="253"/>
      <c r="P5" s="198"/>
    </row>
    <row r="6" spans="1:16" ht="60" customHeight="1" x14ac:dyDescent="0.25">
      <c r="A6" s="197"/>
      <c r="B6" s="244"/>
      <c r="C6" s="269"/>
      <c r="D6" s="247" t="s">
        <v>137</v>
      </c>
      <c r="E6" s="248" t="e">
        <f>VLOOKUP(D6,'Identificação de Riscos'!$I$3:$K$31,2,FALSE)</f>
        <v>#N/A</v>
      </c>
      <c r="F6" s="249" t="s">
        <v>1</v>
      </c>
      <c r="G6" s="249" t="s">
        <v>7</v>
      </c>
      <c r="H6" s="250" t="str">
        <f>INDEX(Tabelas!$C$4:$G$8,MATCH('MAR e Definição de escopo'!F6,Tabelas!$B$4:$B$8,0),MATCH(G6,Tabelas!$C$3:$G$3,0))</f>
        <v>Extremo</v>
      </c>
      <c r="I6" s="251" t="s">
        <v>139</v>
      </c>
      <c r="J6" s="249" t="s">
        <v>15</v>
      </c>
      <c r="K6" s="250" t="str">
        <f>INDEX(Tabelas!$K$4:$O$7,MATCH(H6,Tabelas!$J$4:$J$7,0),MATCH(J6,Tabelas!$K$3:$O$3,0))</f>
        <v xml:space="preserve">Médio </v>
      </c>
      <c r="L6" s="252"/>
      <c r="M6" s="252"/>
      <c r="N6" s="252"/>
      <c r="O6" s="253"/>
      <c r="P6" s="198"/>
    </row>
    <row r="7" spans="1:16" ht="60" customHeight="1" x14ac:dyDescent="0.25">
      <c r="A7" s="197"/>
      <c r="B7" s="244"/>
      <c r="C7" s="269"/>
      <c r="D7" s="247"/>
      <c r="E7" s="248" t="e">
        <f>VLOOKUP(D7,'Identificação de Riscos'!$I$3:$K$31,2,FALSE)</f>
        <v>#N/A</v>
      </c>
      <c r="F7" s="249"/>
      <c r="G7" s="249"/>
      <c r="H7" s="250" t="e">
        <f>INDEX(Tabelas!$C$4:$G$8,MATCH('MAR e Definição de escopo'!F7,Tabelas!$B$4:$B$8,0),MATCH(G7,Tabelas!$C$3:$G$3,0))</f>
        <v>#N/A</v>
      </c>
      <c r="I7" s="251"/>
      <c r="J7" s="249"/>
      <c r="K7" s="250" t="e">
        <f>INDEX(Tabelas!$K$4:$O$7,MATCH(H7,Tabelas!$J$4:$J$7,0),MATCH(J7,Tabelas!$K$3:$O$3,0))</f>
        <v>#N/A</v>
      </c>
      <c r="L7" s="252"/>
      <c r="M7" s="252"/>
      <c r="N7" s="252"/>
      <c r="O7" s="253"/>
      <c r="P7" s="198"/>
    </row>
    <row r="8" spans="1:16" ht="60" customHeight="1" x14ac:dyDescent="0.25">
      <c r="A8" s="197"/>
      <c r="B8" s="244"/>
      <c r="C8" s="269"/>
      <c r="D8" s="247"/>
      <c r="E8" s="248" t="e">
        <f>VLOOKUP(D8,'Identificação de Riscos'!$I$3:$K$31,2,FALSE)</f>
        <v>#N/A</v>
      </c>
      <c r="F8" s="249"/>
      <c r="G8" s="249"/>
      <c r="H8" s="250" t="e">
        <f>INDEX(Tabelas!$C$4:$G$8,MATCH('MAR e Definição de escopo'!F8,Tabelas!$B$4:$B$8,0),MATCH(G8,Tabelas!$C$3:$G$3,0))</f>
        <v>#N/A</v>
      </c>
      <c r="I8" s="251"/>
      <c r="J8" s="249"/>
      <c r="K8" s="250" t="e">
        <f>INDEX(Tabelas!$K$4:$O$7,MATCH(H8,Tabelas!$J$4:$J$7,0),MATCH(J8,Tabelas!$K$3:$O$3,0))</f>
        <v>#N/A</v>
      </c>
      <c r="L8" s="252"/>
      <c r="M8" s="252"/>
      <c r="N8" s="252"/>
      <c r="O8" s="253"/>
      <c r="P8" s="198"/>
    </row>
    <row r="9" spans="1:16" ht="60" customHeight="1" x14ac:dyDescent="0.25">
      <c r="A9" s="197"/>
      <c r="B9" s="244"/>
      <c r="C9" s="269"/>
      <c r="D9" s="247"/>
      <c r="E9" s="248" t="e">
        <f>VLOOKUP(D9,'Identificação de Riscos'!$I$3:$K$31,2,FALSE)</f>
        <v>#N/A</v>
      </c>
      <c r="F9" s="249"/>
      <c r="G9" s="249"/>
      <c r="H9" s="250" t="e">
        <f>INDEX(Tabelas!$C$4:$G$8,MATCH('MAR e Definição de escopo'!F9,Tabelas!$B$4:$B$8,0),MATCH(G9,Tabelas!$C$3:$G$3,0))</f>
        <v>#N/A</v>
      </c>
      <c r="I9" s="251"/>
      <c r="J9" s="249"/>
      <c r="K9" s="250" t="e">
        <f>INDEX(Tabelas!$K$4:$O$7,MATCH(H9,Tabelas!$J$4:$J$7,0),MATCH(J9,Tabelas!$K$3:$O$3,0))</f>
        <v>#N/A</v>
      </c>
      <c r="L9" s="252"/>
      <c r="M9" s="252"/>
      <c r="N9" s="252"/>
      <c r="O9" s="253"/>
      <c r="P9" s="198"/>
    </row>
    <row r="10" spans="1:16" ht="60" customHeight="1" x14ac:dyDescent="0.25">
      <c r="A10" s="197"/>
      <c r="B10" s="244"/>
      <c r="C10" s="269"/>
      <c r="D10" s="247"/>
      <c r="E10" s="248" t="e">
        <f>VLOOKUP(D10,'Identificação de Riscos'!$I$3:$K$31,2,FALSE)</f>
        <v>#N/A</v>
      </c>
      <c r="F10" s="249"/>
      <c r="G10" s="249"/>
      <c r="H10" s="250" t="e">
        <f>INDEX(Tabelas!$C$4:$G$8,MATCH('MAR e Definição de escopo'!F10,Tabelas!$B$4:$B$8,0),MATCH(G10,Tabelas!$C$3:$G$3,0))</f>
        <v>#N/A</v>
      </c>
      <c r="I10" s="254"/>
      <c r="J10" s="249"/>
      <c r="K10" s="250" t="e">
        <f>INDEX(Tabelas!$K$4:$O$7,MATCH(H10,Tabelas!$J$4:$J$7,0),MATCH(J10,Tabelas!$K$3:$O$3,0))</f>
        <v>#N/A</v>
      </c>
      <c r="L10" s="252"/>
      <c r="M10" s="252"/>
      <c r="N10" s="252"/>
      <c r="O10" s="253"/>
      <c r="P10" s="198"/>
    </row>
    <row r="11" spans="1:16" ht="15" customHeight="1" x14ac:dyDescent="0.25">
      <c r="A11" s="197"/>
      <c r="B11" s="244"/>
      <c r="C11" s="230"/>
      <c r="D11" s="231"/>
      <c r="E11" s="199"/>
      <c r="F11" s="202"/>
      <c r="G11" s="202"/>
      <c r="H11" s="188"/>
      <c r="I11" s="230"/>
      <c r="J11" s="202"/>
      <c r="K11" s="232"/>
      <c r="L11" s="200"/>
      <c r="M11" s="200"/>
      <c r="N11" s="200"/>
      <c r="O11" s="233"/>
      <c r="P11" s="198"/>
    </row>
    <row r="12" spans="1:16" ht="60" customHeight="1" x14ac:dyDescent="0.25">
      <c r="A12" s="197"/>
      <c r="B12" s="244"/>
      <c r="C12" s="269">
        <f>'Identificação de Riscos'!C12:C17</f>
        <v>0</v>
      </c>
      <c r="D12" s="247"/>
      <c r="E12" s="248" t="e">
        <f>VLOOKUP(D12,'Identificação de Riscos'!$I$3:$K$31,2,FALSE)</f>
        <v>#N/A</v>
      </c>
      <c r="F12" s="249"/>
      <c r="G12" s="249"/>
      <c r="H12" s="250" t="e">
        <f>INDEX(Tabelas!$C$4:$G$8,MATCH('MAR e Definição de escopo'!F12,Tabelas!$B$4:$B$8,0),MATCH(G12,Tabelas!$C$3:$G$3,0))</f>
        <v>#N/A</v>
      </c>
      <c r="I12" s="251"/>
      <c r="J12" s="249"/>
      <c r="K12" s="250" t="e">
        <f>INDEX(Tabelas!$K$4:$O$7,MATCH(H12,Tabelas!$J$4:$J$7,0),MATCH(J12,Tabelas!$K$3:$O$3,0))</f>
        <v>#N/A</v>
      </c>
      <c r="L12" s="252"/>
      <c r="M12" s="252"/>
      <c r="N12" s="252"/>
      <c r="O12" s="253"/>
      <c r="P12" s="198"/>
    </row>
    <row r="13" spans="1:16" ht="60" customHeight="1" x14ac:dyDescent="0.25">
      <c r="A13" s="197"/>
      <c r="B13" s="244"/>
      <c r="C13" s="269"/>
      <c r="D13" s="247"/>
      <c r="E13" s="248" t="e">
        <f>VLOOKUP(D13,'Identificação de Riscos'!$I$3:$K$31,2,FALSE)</f>
        <v>#N/A</v>
      </c>
      <c r="F13" s="249"/>
      <c r="G13" s="249"/>
      <c r="H13" s="250" t="e">
        <f>INDEX(Tabelas!$C$4:$G$8,MATCH('MAR e Definição de escopo'!F13,Tabelas!$B$4:$B$8,0),MATCH(G13,Tabelas!$C$3:$G$3,0))</f>
        <v>#N/A</v>
      </c>
      <c r="I13" s="251"/>
      <c r="J13" s="249"/>
      <c r="K13" s="250" t="e">
        <f>INDEX(Tabelas!$K$4:$O$7,MATCH(H13,Tabelas!$J$4:$J$7,0),MATCH(J13,Tabelas!$K$3:$O$3,0))</f>
        <v>#N/A</v>
      </c>
      <c r="L13" s="252"/>
      <c r="M13" s="252"/>
      <c r="N13" s="252"/>
      <c r="O13" s="253"/>
      <c r="P13" s="198"/>
    </row>
    <row r="14" spans="1:16" ht="60" customHeight="1" x14ac:dyDescent="0.25">
      <c r="A14" s="197"/>
      <c r="B14" s="244"/>
      <c r="C14" s="269"/>
      <c r="D14" s="247"/>
      <c r="E14" s="248" t="e">
        <f>VLOOKUP(D14,'Identificação de Riscos'!$I$3:$K$31,2,FALSE)</f>
        <v>#N/A</v>
      </c>
      <c r="F14" s="249"/>
      <c r="G14" s="249"/>
      <c r="H14" s="250" t="e">
        <f>INDEX(Tabelas!$C$4:$G$8,MATCH('MAR e Definição de escopo'!F14,Tabelas!$B$4:$B$8,0),MATCH(G14,Tabelas!$C$3:$G$3,0))</f>
        <v>#N/A</v>
      </c>
      <c r="I14" s="251"/>
      <c r="J14" s="249"/>
      <c r="K14" s="250" t="e">
        <f>INDEX(Tabelas!$K$4:$O$7,MATCH(H14,Tabelas!$J$4:$J$7,0),MATCH(J14,Tabelas!$K$3:$O$3,0))</f>
        <v>#N/A</v>
      </c>
      <c r="L14" s="252"/>
      <c r="M14" s="252"/>
      <c r="N14" s="252"/>
      <c r="O14" s="253"/>
      <c r="P14" s="198"/>
    </row>
    <row r="15" spans="1:16" ht="60" customHeight="1" x14ac:dyDescent="0.25">
      <c r="A15" s="197"/>
      <c r="B15" s="244"/>
      <c r="C15" s="269"/>
      <c r="D15" s="247"/>
      <c r="E15" s="248" t="e">
        <f>VLOOKUP(D15,'Identificação de Riscos'!$I$3:$K$31,2,FALSE)</f>
        <v>#N/A</v>
      </c>
      <c r="F15" s="249"/>
      <c r="G15" s="249"/>
      <c r="H15" s="250" t="e">
        <f>INDEX(Tabelas!$C$4:$G$8,MATCH('MAR e Definição de escopo'!F15,Tabelas!$B$4:$B$8,0),MATCH(G15,Tabelas!$C$3:$G$3,0))</f>
        <v>#N/A</v>
      </c>
      <c r="I15" s="251"/>
      <c r="J15" s="249"/>
      <c r="K15" s="250" t="e">
        <f>INDEX(Tabelas!$K$4:$O$7,MATCH(H15,Tabelas!$J$4:$J$7,0),MATCH(J15,Tabelas!$K$3:$O$3,0))</f>
        <v>#N/A</v>
      </c>
      <c r="L15" s="252"/>
      <c r="M15" s="252"/>
      <c r="N15" s="252"/>
      <c r="O15" s="253"/>
      <c r="P15" s="198"/>
    </row>
    <row r="16" spans="1:16" ht="60" customHeight="1" x14ac:dyDescent="0.25">
      <c r="A16" s="197"/>
      <c r="B16" s="244"/>
      <c r="C16" s="269"/>
      <c r="D16" s="247"/>
      <c r="E16" s="248" t="e">
        <f>VLOOKUP(D16,'Identificação de Riscos'!$I$3:$K$31,2,FALSE)</f>
        <v>#N/A</v>
      </c>
      <c r="F16" s="249"/>
      <c r="G16" s="249"/>
      <c r="H16" s="250" t="e">
        <f>INDEX(Tabelas!$C$4:$G$8,MATCH('MAR e Definição de escopo'!F16,Tabelas!$B$4:$B$8,0),MATCH(G16,Tabelas!$C$3:$G$3,0))</f>
        <v>#N/A</v>
      </c>
      <c r="I16" s="251"/>
      <c r="J16" s="249"/>
      <c r="K16" s="250" t="e">
        <f>INDEX(Tabelas!$K$4:$O$7,MATCH(H16,Tabelas!$J$4:$J$7,0),MATCH(J16,Tabelas!$K$3:$O$3,0))</f>
        <v>#N/A</v>
      </c>
      <c r="L16" s="252"/>
      <c r="M16" s="252"/>
      <c r="N16" s="252"/>
      <c r="O16" s="253"/>
      <c r="P16" s="198"/>
    </row>
    <row r="17" spans="1:16" ht="60" customHeight="1" x14ac:dyDescent="0.25">
      <c r="A17" s="197"/>
      <c r="B17" s="244"/>
      <c r="C17" s="269"/>
      <c r="D17" s="247"/>
      <c r="E17" s="248" t="e">
        <f>VLOOKUP(D17,'Identificação de Riscos'!$I$3:$K$31,2,FALSE)</f>
        <v>#N/A</v>
      </c>
      <c r="F17" s="249"/>
      <c r="G17" s="249"/>
      <c r="H17" s="250" t="e">
        <f>INDEX(Tabelas!$C$4:$G$8,MATCH('MAR e Definição de escopo'!F17,Tabelas!$B$4:$B$8,0),MATCH(G17,Tabelas!$C$3:$G$3,0))</f>
        <v>#N/A</v>
      </c>
      <c r="I17" s="251"/>
      <c r="J17" s="249"/>
      <c r="K17" s="250" t="e">
        <f>INDEX(Tabelas!$K$4:$O$7,MATCH(H17,Tabelas!$J$4:$J$7,0),MATCH(J17,Tabelas!$K$3:$O$3,0))</f>
        <v>#N/A</v>
      </c>
      <c r="L17" s="252"/>
      <c r="M17" s="252"/>
      <c r="N17" s="252"/>
      <c r="O17" s="253"/>
      <c r="P17" s="198"/>
    </row>
    <row r="18" spans="1:16" ht="15" customHeight="1" x14ac:dyDescent="0.25">
      <c r="A18" s="197"/>
      <c r="B18" s="244"/>
      <c r="C18" s="236"/>
      <c r="D18" s="236"/>
      <c r="E18" s="236"/>
      <c r="F18" s="236"/>
      <c r="G18" s="236"/>
      <c r="H18" s="236"/>
      <c r="I18" s="236"/>
      <c r="J18" s="236"/>
      <c r="K18" s="237"/>
      <c r="L18" s="200"/>
      <c r="M18" s="200"/>
      <c r="N18" s="200"/>
      <c r="O18" s="238"/>
      <c r="P18" s="198"/>
    </row>
    <row r="19" spans="1:16" ht="60" customHeight="1" x14ac:dyDescent="0.25">
      <c r="A19" s="197"/>
      <c r="B19" s="244"/>
      <c r="C19" s="269">
        <f>'Identificação de Riscos'!C19:C24</f>
        <v>0</v>
      </c>
      <c r="D19" s="247"/>
      <c r="E19" s="248" t="e">
        <f>VLOOKUP(D19,'Identificação de Riscos'!$I$3:$K$31,2,FALSE)</f>
        <v>#N/A</v>
      </c>
      <c r="F19" s="249"/>
      <c r="G19" s="249"/>
      <c r="H19" s="250" t="e">
        <f>INDEX(Tabelas!$C$4:$G$8,MATCH('MAR e Definição de escopo'!F19,Tabelas!$B$4:$B$8,0),MATCH(G19,Tabelas!$C$3:$G$3,0))</f>
        <v>#N/A</v>
      </c>
      <c r="I19" s="251"/>
      <c r="J19" s="249"/>
      <c r="K19" s="250" t="e">
        <f>INDEX(Tabelas!$K$4:$O$7,MATCH(H19,Tabelas!$J$4:$J$7,0),MATCH(J19,Tabelas!$K$3:$O$3,0))</f>
        <v>#N/A</v>
      </c>
      <c r="L19" s="252"/>
      <c r="M19" s="252"/>
      <c r="N19" s="252"/>
      <c r="O19" s="253"/>
      <c r="P19" s="198"/>
    </row>
    <row r="20" spans="1:16" ht="60" customHeight="1" x14ac:dyDescent="0.25">
      <c r="A20" s="197"/>
      <c r="B20" s="244"/>
      <c r="C20" s="269"/>
      <c r="D20" s="247"/>
      <c r="E20" s="248" t="e">
        <f>VLOOKUP(D20,'Identificação de Riscos'!$I$3:$K$31,2,FALSE)</f>
        <v>#N/A</v>
      </c>
      <c r="F20" s="249"/>
      <c r="G20" s="249"/>
      <c r="H20" s="250" t="e">
        <f>INDEX(Tabelas!$C$4:$G$8,MATCH('MAR e Definição de escopo'!F20,Tabelas!$B$4:$B$8,0),MATCH(G20,Tabelas!$C$3:$G$3,0))</f>
        <v>#N/A</v>
      </c>
      <c r="I20" s="251"/>
      <c r="J20" s="249"/>
      <c r="K20" s="250" t="e">
        <f>INDEX(Tabelas!$K$4:$O$7,MATCH(H20,Tabelas!$J$4:$J$7,0),MATCH(J20,Tabelas!$K$3:$O$3,0))</f>
        <v>#N/A</v>
      </c>
      <c r="L20" s="252"/>
      <c r="M20" s="252"/>
      <c r="N20" s="252"/>
      <c r="O20" s="253"/>
      <c r="P20" s="198"/>
    </row>
    <row r="21" spans="1:16" ht="60" customHeight="1" x14ac:dyDescent="0.25">
      <c r="A21" s="197"/>
      <c r="B21" s="244"/>
      <c r="C21" s="269"/>
      <c r="D21" s="247"/>
      <c r="E21" s="248" t="e">
        <f>VLOOKUP(D21,'Identificação de Riscos'!$I$3:$K$31,2,FALSE)</f>
        <v>#N/A</v>
      </c>
      <c r="F21" s="249"/>
      <c r="G21" s="249"/>
      <c r="H21" s="250" t="e">
        <f>INDEX(Tabelas!$C$4:$G$8,MATCH('MAR e Definição de escopo'!F21,Tabelas!$B$4:$B$8,0),MATCH(G21,Tabelas!$C$3:$G$3,0))</f>
        <v>#N/A</v>
      </c>
      <c r="I21" s="251"/>
      <c r="J21" s="249"/>
      <c r="K21" s="250" t="e">
        <f>INDEX(Tabelas!$K$4:$O$7,MATCH(H21,Tabelas!$J$4:$J$7,0),MATCH(J21,Tabelas!$K$3:$O$3,0))</f>
        <v>#N/A</v>
      </c>
      <c r="L21" s="252"/>
      <c r="M21" s="252"/>
      <c r="N21" s="252"/>
      <c r="O21" s="253"/>
      <c r="P21" s="198"/>
    </row>
    <row r="22" spans="1:16" ht="60" customHeight="1" x14ac:dyDescent="0.25">
      <c r="A22" s="197"/>
      <c r="B22" s="244"/>
      <c r="C22" s="269"/>
      <c r="D22" s="247"/>
      <c r="E22" s="248" t="e">
        <f>VLOOKUP(D22,'Identificação de Riscos'!$I$3:$K$31,2,FALSE)</f>
        <v>#N/A</v>
      </c>
      <c r="F22" s="249"/>
      <c r="G22" s="249"/>
      <c r="H22" s="250" t="e">
        <f>INDEX(Tabelas!$C$4:$G$8,MATCH('MAR e Definição de escopo'!F22,Tabelas!$B$4:$B$8,0),MATCH(G22,Tabelas!$C$3:$G$3,0))</f>
        <v>#N/A</v>
      </c>
      <c r="I22" s="251"/>
      <c r="J22" s="249"/>
      <c r="K22" s="250" t="e">
        <f>INDEX(Tabelas!$K$4:$O$7,MATCH(H22,Tabelas!$J$4:$J$7,0),MATCH(J22,Tabelas!$K$3:$O$3,0))</f>
        <v>#N/A</v>
      </c>
      <c r="L22" s="252"/>
      <c r="M22" s="252"/>
      <c r="N22" s="252"/>
      <c r="O22" s="253"/>
      <c r="P22" s="198"/>
    </row>
    <row r="23" spans="1:16" ht="60" customHeight="1" x14ac:dyDescent="0.25">
      <c r="A23" s="197"/>
      <c r="B23" s="244"/>
      <c r="C23" s="269"/>
      <c r="D23" s="247"/>
      <c r="E23" s="248" t="e">
        <f>VLOOKUP(D23,'Identificação de Riscos'!$I$3:$K$31,2,FALSE)</f>
        <v>#N/A</v>
      </c>
      <c r="F23" s="249"/>
      <c r="G23" s="249"/>
      <c r="H23" s="250" t="e">
        <f>INDEX(Tabelas!$C$4:$G$8,MATCH('MAR e Definição de escopo'!F23,Tabelas!$B$4:$B$8,0),MATCH(G23,Tabelas!$C$3:$G$3,0))</f>
        <v>#N/A</v>
      </c>
      <c r="I23" s="251"/>
      <c r="J23" s="249"/>
      <c r="K23" s="250" t="e">
        <f>INDEX(Tabelas!$K$4:$O$7,MATCH(H23,Tabelas!$J$4:$J$7,0),MATCH(J23,Tabelas!$K$3:$O$3,0))</f>
        <v>#N/A</v>
      </c>
      <c r="L23" s="252"/>
      <c r="M23" s="252"/>
      <c r="N23" s="252"/>
      <c r="O23" s="253"/>
      <c r="P23" s="198"/>
    </row>
    <row r="24" spans="1:16" ht="60" customHeight="1" x14ac:dyDescent="0.25">
      <c r="A24" s="197"/>
      <c r="B24" s="244"/>
      <c r="C24" s="269"/>
      <c r="D24" s="247"/>
      <c r="E24" s="248" t="e">
        <f>VLOOKUP(D24,'Identificação de Riscos'!$I$3:$K$31,2,FALSE)</f>
        <v>#N/A</v>
      </c>
      <c r="F24" s="249"/>
      <c r="G24" s="249"/>
      <c r="H24" s="250" t="e">
        <f>INDEX(Tabelas!$C$4:$G$8,MATCH('MAR e Definição de escopo'!F24,Tabelas!$B$4:$B$8,0),MATCH(G24,Tabelas!$C$3:$G$3,0))</f>
        <v>#N/A</v>
      </c>
      <c r="I24" s="251"/>
      <c r="J24" s="249"/>
      <c r="K24" s="250" t="e">
        <f>INDEX(Tabelas!$K$4:$O$7,MATCH(H24,Tabelas!$J$4:$J$7,0),MATCH(J24,Tabelas!$K$3:$O$3,0))</f>
        <v>#N/A</v>
      </c>
      <c r="L24" s="252"/>
      <c r="M24" s="252"/>
      <c r="N24" s="252"/>
      <c r="O24" s="253"/>
      <c r="P24" s="198"/>
    </row>
    <row r="25" spans="1:16" ht="15" customHeight="1" x14ac:dyDescent="0.25">
      <c r="A25" s="197"/>
      <c r="B25" s="244"/>
      <c r="C25" s="236"/>
      <c r="D25" s="236"/>
      <c r="E25" s="236"/>
      <c r="F25" s="236"/>
      <c r="G25" s="236"/>
      <c r="H25" s="236"/>
      <c r="I25" s="236"/>
      <c r="J25" s="236"/>
      <c r="K25" s="237"/>
      <c r="L25" s="200"/>
      <c r="M25" s="200"/>
      <c r="N25" s="200"/>
      <c r="O25" s="238"/>
      <c r="P25" s="198"/>
    </row>
    <row r="26" spans="1:16" ht="60" customHeight="1" x14ac:dyDescent="0.25">
      <c r="A26" s="197"/>
      <c r="B26" s="244"/>
      <c r="C26" s="269">
        <f>'Identificação de Riscos'!C26:C31</f>
        <v>0</v>
      </c>
      <c r="D26" s="247"/>
      <c r="E26" s="248" t="e">
        <f>VLOOKUP(D26,'Identificação de Riscos'!$I$3:$K$31,2,FALSE)</f>
        <v>#N/A</v>
      </c>
      <c r="F26" s="249"/>
      <c r="G26" s="249"/>
      <c r="H26" s="250" t="e">
        <f>INDEX(Tabelas!$C$4:$G$8,MATCH('MAR e Definição de escopo'!F26,Tabelas!$B$4:$B$8,0),MATCH(G26,Tabelas!$C$3:$G$3,0))</f>
        <v>#N/A</v>
      </c>
      <c r="I26" s="251"/>
      <c r="J26" s="249"/>
      <c r="K26" s="250" t="e">
        <f>INDEX(Tabelas!$K$4:$O$7,MATCH(H26,Tabelas!$J$4:$J$7,0),MATCH(J26,Tabelas!$K$3:$O$3,0))</f>
        <v>#N/A</v>
      </c>
      <c r="L26" s="252"/>
      <c r="M26" s="252"/>
      <c r="N26" s="252"/>
      <c r="O26" s="253"/>
      <c r="P26" s="198"/>
    </row>
    <row r="27" spans="1:16" ht="60" customHeight="1" x14ac:dyDescent="0.25">
      <c r="A27" s="197"/>
      <c r="B27" s="244"/>
      <c r="C27" s="269"/>
      <c r="D27" s="247"/>
      <c r="E27" s="248" t="e">
        <f>VLOOKUP(D27,'Identificação de Riscos'!$I$3:$K$31,2,FALSE)</f>
        <v>#N/A</v>
      </c>
      <c r="F27" s="249"/>
      <c r="G27" s="249"/>
      <c r="H27" s="250" t="e">
        <f>INDEX(Tabelas!$C$4:$G$8,MATCH('MAR e Definição de escopo'!F27,Tabelas!$B$4:$B$8,0),MATCH(G27,Tabelas!$C$3:$G$3,0))</f>
        <v>#N/A</v>
      </c>
      <c r="I27" s="251"/>
      <c r="J27" s="249"/>
      <c r="K27" s="250" t="e">
        <f>INDEX(Tabelas!$K$4:$O$7,MATCH(H27,Tabelas!$J$4:$J$7,0),MATCH(J27,Tabelas!$K$3:$O$3,0))</f>
        <v>#N/A</v>
      </c>
      <c r="L27" s="252"/>
      <c r="M27" s="252"/>
      <c r="N27" s="252"/>
      <c r="O27" s="253"/>
      <c r="P27" s="198"/>
    </row>
    <row r="28" spans="1:16" ht="60" customHeight="1" x14ac:dyDescent="0.25">
      <c r="A28" s="197"/>
      <c r="B28" s="244"/>
      <c r="C28" s="269"/>
      <c r="D28" s="247"/>
      <c r="E28" s="248" t="e">
        <f>VLOOKUP(D28,'Identificação de Riscos'!$I$3:$K$31,2,FALSE)</f>
        <v>#N/A</v>
      </c>
      <c r="F28" s="249"/>
      <c r="G28" s="249"/>
      <c r="H28" s="250" t="e">
        <f>INDEX(Tabelas!$C$4:$G$8,MATCH('MAR e Definição de escopo'!F28,Tabelas!$B$4:$B$8,0),MATCH(G28,Tabelas!$C$3:$G$3,0))</f>
        <v>#N/A</v>
      </c>
      <c r="I28" s="251"/>
      <c r="J28" s="249"/>
      <c r="K28" s="250" t="e">
        <f>INDEX(Tabelas!$K$4:$O$7,MATCH(H28,Tabelas!$J$4:$J$7,0),MATCH(J28,Tabelas!$K$3:$O$3,0))</f>
        <v>#N/A</v>
      </c>
      <c r="L28" s="252"/>
      <c r="M28" s="252"/>
      <c r="N28" s="252"/>
      <c r="O28" s="253"/>
      <c r="P28" s="198"/>
    </row>
    <row r="29" spans="1:16" ht="60" customHeight="1" x14ac:dyDescent="0.25">
      <c r="A29" s="197"/>
      <c r="B29" s="244"/>
      <c r="C29" s="269"/>
      <c r="D29" s="247"/>
      <c r="E29" s="248" t="e">
        <f>VLOOKUP(D29,'Identificação de Riscos'!$I$3:$K$31,2,FALSE)</f>
        <v>#N/A</v>
      </c>
      <c r="F29" s="249"/>
      <c r="G29" s="249"/>
      <c r="H29" s="250" t="e">
        <f>INDEX(Tabelas!$C$4:$G$8,MATCH('MAR e Definição de escopo'!F29,Tabelas!$B$4:$B$8,0),MATCH(G29,Tabelas!$C$3:$G$3,0))</f>
        <v>#N/A</v>
      </c>
      <c r="I29" s="251"/>
      <c r="J29" s="249"/>
      <c r="K29" s="250" t="e">
        <f>INDEX(Tabelas!$K$4:$O$7,MATCH(H29,Tabelas!$J$4:$J$7,0),MATCH(J29,Tabelas!$K$3:$O$3,0))</f>
        <v>#N/A</v>
      </c>
      <c r="L29" s="252"/>
      <c r="M29" s="252"/>
      <c r="N29" s="252"/>
      <c r="O29" s="253"/>
      <c r="P29" s="198"/>
    </row>
    <row r="30" spans="1:16" ht="60" customHeight="1" x14ac:dyDescent="0.25">
      <c r="A30" s="197"/>
      <c r="B30" s="244"/>
      <c r="C30" s="269"/>
      <c r="D30" s="247"/>
      <c r="E30" s="248" t="e">
        <f>VLOOKUP(D30,'Identificação de Riscos'!$I$3:$K$31,2,FALSE)</f>
        <v>#N/A</v>
      </c>
      <c r="F30" s="249"/>
      <c r="G30" s="249"/>
      <c r="H30" s="250" t="e">
        <f>INDEX(Tabelas!$C$4:$G$8,MATCH('MAR e Definição de escopo'!F30,Tabelas!$B$4:$B$8,0),MATCH(G30,Tabelas!$C$3:$G$3,0))</f>
        <v>#N/A</v>
      </c>
      <c r="I30" s="251"/>
      <c r="J30" s="249"/>
      <c r="K30" s="250" t="e">
        <f>INDEX(Tabelas!$K$4:$O$7,MATCH(H30,Tabelas!$J$4:$J$7,0),MATCH(J30,Tabelas!$K$3:$O$3,0))</f>
        <v>#N/A</v>
      </c>
      <c r="L30" s="252"/>
      <c r="M30" s="252"/>
      <c r="N30" s="252"/>
      <c r="O30" s="253"/>
      <c r="P30" s="198"/>
    </row>
    <row r="31" spans="1:16" ht="60" customHeight="1" x14ac:dyDescent="0.25">
      <c r="A31" s="197"/>
      <c r="B31" s="244"/>
      <c r="C31" s="269"/>
      <c r="D31" s="247"/>
      <c r="E31" s="248" t="e">
        <f>VLOOKUP(D31,'Identificação de Riscos'!$I$3:$K$31,2,FALSE)</f>
        <v>#N/A</v>
      </c>
      <c r="F31" s="249"/>
      <c r="G31" s="249"/>
      <c r="H31" s="250" t="e">
        <f>INDEX(Tabelas!$C$4:$G$8,MATCH('MAR e Definição de escopo'!F31,Tabelas!$B$4:$B$8,0),MATCH(G31,Tabelas!$C$3:$G$3,0))</f>
        <v>#N/A</v>
      </c>
      <c r="I31" s="251"/>
      <c r="J31" s="249"/>
      <c r="K31" s="250" t="e">
        <f>INDEX(Tabelas!$K$4:$O$7,MATCH(H31,Tabelas!$J$4:$J$7,0),MATCH(J31,Tabelas!$K$3:$O$3,0))</f>
        <v>#N/A</v>
      </c>
      <c r="L31" s="252"/>
      <c r="M31" s="252"/>
      <c r="N31" s="252"/>
      <c r="O31" s="253"/>
      <c r="P31" s="198"/>
    </row>
    <row r="32" spans="1:16" ht="25.5" customHeight="1" thickBot="1" x14ac:dyDescent="0.3">
      <c r="A32" s="197"/>
      <c r="B32" s="245"/>
      <c r="C32" s="234"/>
      <c r="D32" s="234"/>
      <c r="E32" s="234"/>
      <c r="F32" s="234"/>
      <c r="G32" s="234"/>
      <c r="H32" s="234"/>
      <c r="I32" s="234"/>
      <c r="J32" s="234"/>
      <c r="K32" s="235"/>
      <c r="L32" s="229"/>
      <c r="M32" s="229"/>
      <c r="N32" s="229"/>
      <c r="O32" s="189"/>
      <c r="P32" s="246"/>
    </row>
    <row r="33" spans="4:15" s="197" customFormat="1" x14ac:dyDescent="0.25">
      <c r="D33" s="202"/>
      <c r="E33" s="270"/>
      <c r="F33" s="202"/>
      <c r="G33" s="202"/>
      <c r="H33" s="203"/>
      <c r="I33" s="204"/>
      <c r="J33" s="203"/>
      <c r="K33" s="205"/>
      <c r="O33" s="206"/>
    </row>
    <row r="34" spans="4:15" x14ac:dyDescent="0.25">
      <c r="E34" s="270"/>
    </row>
    <row r="35" spans="4:15" x14ac:dyDescent="0.25">
      <c r="E35" s="270"/>
    </row>
    <row r="36" spans="4:15" x14ac:dyDescent="0.25">
      <c r="E36" s="201"/>
    </row>
    <row r="37" spans="4:15" x14ac:dyDescent="0.25">
      <c r="E37" s="272"/>
    </row>
    <row r="38" spans="4:15" x14ac:dyDescent="0.25">
      <c r="E38" s="272"/>
    </row>
    <row r="39" spans="4:15" x14ac:dyDescent="0.25">
      <c r="E39" s="272"/>
    </row>
    <row r="40" spans="4:15" x14ac:dyDescent="0.25">
      <c r="E40" s="270"/>
    </row>
    <row r="41" spans="4:15" x14ac:dyDescent="0.25">
      <c r="E41" s="270"/>
    </row>
    <row r="42" spans="4:15" x14ac:dyDescent="0.25">
      <c r="E42" s="270"/>
    </row>
    <row r="43" spans="4:15" x14ac:dyDescent="0.25">
      <c r="E43" s="270"/>
    </row>
  </sheetData>
  <sheetProtection formatCells="0" formatColumns="0" formatRows="0" insertColumns="0" insertRows="0" insertHyperlinks="0" deleteColumns="0" deleteRows="0" autoFilter="0"/>
  <mergeCells count="17">
    <mergeCell ref="F3:H3"/>
    <mergeCell ref="I3:I4"/>
    <mergeCell ref="E37:E39"/>
    <mergeCell ref="L3:L4"/>
    <mergeCell ref="N3:N4"/>
    <mergeCell ref="D2:K2"/>
    <mergeCell ref="J3:K3"/>
    <mergeCell ref="O3:O4"/>
    <mergeCell ref="C19:C24"/>
    <mergeCell ref="C26:C31"/>
    <mergeCell ref="E33:E35"/>
    <mergeCell ref="E40:E43"/>
    <mergeCell ref="E3:E4"/>
    <mergeCell ref="D3:D4"/>
    <mergeCell ref="C5:C10"/>
    <mergeCell ref="C3:C4"/>
    <mergeCell ref="C12:C17"/>
  </mergeCells>
  <conditionalFormatting sqref="H33:H60 H5 H8:H12 H15:H17">
    <cfRule type="cellIs" dxfId="74" priority="79" stopIfTrue="1" operator="equal">
      <formula>"Extremo"</formula>
    </cfRule>
    <cfRule type="cellIs" dxfId="73" priority="87" stopIfTrue="1" operator="equal">
      <formula>"Alto"</formula>
    </cfRule>
  </conditionalFormatting>
  <conditionalFormatting sqref="K11 O11">
    <cfRule type="cellIs" dxfId="72" priority="115" stopIfTrue="1" operator="equal">
      <formula>"Médio 24"</formula>
    </cfRule>
    <cfRule type="cellIs" dxfId="71" priority="116" stopIfTrue="1" operator="equal">
      <formula>"Médio 20"</formula>
    </cfRule>
    <cfRule type="cellIs" dxfId="70" priority="117" stopIfTrue="1" operator="equal">
      <formula>"Médio 16"</formula>
    </cfRule>
    <cfRule type="cellIs" dxfId="17" priority="119" stopIfTrue="1" operator="equal">
      <formula>"Médio 13"</formula>
    </cfRule>
    <cfRule type="cellIs" dxfId="16" priority="120" stopIfTrue="1" operator="equal">
      <formula>"Médio 12"</formula>
    </cfRule>
    <cfRule type="cellIs" dxfId="15" priority="121" stopIfTrue="1" operator="equal">
      <formula>"Médio 10"</formula>
    </cfRule>
    <cfRule type="cellIs" dxfId="14" priority="122" stopIfTrue="1" operator="equal">
      <formula>"Baixo  8"</formula>
    </cfRule>
  </conditionalFormatting>
  <conditionalFormatting sqref="K11 O11">
    <cfRule type="cellIs" dxfId="69" priority="80" stopIfTrue="1" operator="equal">
      <formula>"Extremo"</formula>
    </cfRule>
    <cfRule type="cellIs" dxfId="68" priority="81" stopIfTrue="1" operator="equal">
      <formula>"Extremo 80"</formula>
    </cfRule>
    <cfRule type="cellIs" dxfId="67" priority="82" stopIfTrue="1" operator="equal">
      <formula>"Alto 64"</formula>
    </cfRule>
    <cfRule type="cellIs" dxfId="13" priority="84" stopIfTrue="1" operator="equal">
      <formula>"Alto 60"</formula>
    </cfRule>
    <cfRule type="cellIs" dxfId="12" priority="85" stopIfTrue="1" operator="equal">
      <formula>"Alto 51"</formula>
    </cfRule>
    <cfRule type="cellIs" dxfId="11" priority="108" stopIfTrue="1" operator="equal">
      <formula>"Alto 48"</formula>
    </cfRule>
    <cfRule type="cellIs" dxfId="10" priority="110" stopIfTrue="1" operator="equal">
      <formula>"Médio 38"</formula>
    </cfRule>
    <cfRule type="cellIs" dxfId="9" priority="111" stopIfTrue="1" operator="equal">
      <formula>"Médio 32"</formula>
    </cfRule>
    <cfRule type="cellIs" dxfId="8" priority="112" stopIfTrue="1" operator="equal">
      <formula>"Médio 30"</formula>
    </cfRule>
    <cfRule type="cellIs" dxfId="7" priority="113" stopIfTrue="1" operator="equal">
      <formula>"Médio 26"</formula>
    </cfRule>
    <cfRule type="cellIs" dxfId="6" priority="123" stopIfTrue="1" operator="equal">
      <formula>"Baixo  6"</formula>
    </cfRule>
    <cfRule type="cellIs" dxfId="5" priority="124" stopIfTrue="1" operator="equal">
      <formula>"Baixo  5"</formula>
    </cfRule>
    <cfRule type="cellIs" dxfId="4" priority="130" stopIfTrue="1" operator="equal">
      <formula>"Baixo  4"</formula>
    </cfRule>
    <cfRule type="cellIs" dxfId="3" priority="131" stopIfTrue="1" operator="equal">
      <formula>"Baixo  3"</formula>
    </cfRule>
    <cfRule type="cellIs" dxfId="2" priority="132" stopIfTrue="1" operator="equal">
      <formula>"Baixo  2"</formula>
    </cfRule>
    <cfRule type="cellIs" dxfId="1" priority="133" stopIfTrue="1" operator="equal">
      <formula>"Baixo  1"</formula>
    </cfRule>
    <cfRule type="cellIs" dxfId="0" priority="134" stopIfTrue="1" operator="equal">
      <formula>"Baixo  0"</formula>
    </cfRule>
  </conditionalFormatting>
  <conditionalFormatting sqref="H5 H8:H12 H15:H17">
    <cfRule type="cellIs" dxfId="66" priority="167" stopIfTrue="1" operator="equal">
      <formula>"Baixo"</formula>
    </cfRule>
  </conditionalFormatting>
  <conditionalFormatting sqref="K11 O11">
    <cfRule type="cellIs" dxfId="65" priority="86" stopIfTrue="1" operator="equal">
      <formula>"Alto 50"</formula>
    </cfRule>
  </conditionalFormatting>
  <conditionalFormatting sqref="H5 K11 O11 H8:H12 H15:H17">
    <cfRule type="cellIs" dxfId="64" priority="140" stopIfTrue="1" operator="equal">
      <formula>"Médio"</formula>
    </cfRule>
  </conditionalFormatting>
  <conditionalFormatting sqref="K11 O11">
    <cfRule type="cellIs" dxfId="63" priority="109" stopIfTrue="1" operator="equal">
      <formula>"Alto 40"</formula>
    </cfRule>
    <cfRule type="cellIs" dxfId="62" priority="118" stopIfTrue="1" operator="equal">
      <formula>"Médio 15"</formula>
    </cfRule>
  </conditionalFormatting>
  <conditionalFormatting sqref="K5 O5 K12 O12 K19 O19 K26 O26 O8:O10 K8:K10 O15:O17 K15:K17 O22:O24 K22:K24 O29:O31 K29:K31">
    <cfRule type="containsText" dxfId="61" priority="66" stopIfTrue="1" operator="containsText" text="Extremo">
      <formula>NOT(ISERROR(SEARCH("Extremo",K5)))</formula>
    </cfRule>
  </conditionalFormatting>
  <conditionalFormatting sqref="K5 O5 K12 O12 K19 O19 K26 O26 O8:O10 K8:K10 O15:O17 K15:K17 O22:O24 K22:K24 O29:O31 K29:K31">
    <cfRule type="containsText" dxfId="60" priority="64" stopIfTrue="1" operator="containsText" text="Médio">
      <formula>NOT(ISERROR(SEARCH("Médio",K5)))</formula>
    </cfRule>
  </conditionalFormatting>
  <conditionalFormatting sqref="K5 O5 K12 O12 K19 O19 K26 O26 O8:O10 K8:K10 O15:O17 K15:K17 O22:O24 K22:K24 O29:O31 K29:K31">
    <cfRule type="containsText" dxfId="59" priority="62" stopIfTrue="1" operator="containsText" text="Baixo">
      <formula>NOT(ISERROR(SEARCH("Baixo",K5)))</formula>
    </cfRule>
  </conditionalFormatting>
  <conditionalFormatting sqref="K5 O5 K12 O12 K19 O19 K26 O26 O8:O10 K8:K10 O15:O17 K15:K17 O22:O24 K22:K24 O29:O31 K29:K31">
    <cfRule type="containsText" dxfId="58" priority="61" stopIfTrue="1" operator="containsText" text="Alto">
      <formula>NOT(ISERROR(SEARCH("Alto",K5)))</formula>
    </cfRule>
  </conditionalFormatting>
  <conditionalFormatting sqref="H19 H22:H24">
    <cfRule type="cellIs" dxfId="57" priority="45" stopIfTrue="1" operator="equal">
      <formula>"Extremo"</formula>
    </cfRule>
    <cfRule type="cellIs" dxfId="56" priority="46" stopIfTrue="1" operator="equal">
      <formula>"Alto"</formula>
    </cfRule>
  </conditionalFormatting>
  <conditionalFormatting sqref="H19 H22:H24">
    <cfRule type="cellIs" dxfId="55" priority="48" stopIfTrue="1" operator="equal">
      <formula>"Baixo"</formula>
    </cfRule>
  </conditionalFormatting>
  <conditionalFormatting sqref="H19 H22:H24">
    <cfRule type="cellIs" dxfId="54" priority="47" stopIfTrue="1" operator="equal">
      <formula>"Médio"</formula>
    </cfRule>
  </conditionalFormatting>
  <conditionalFormatting sqref="H26 H29:H31">
    <cfRule type="cellIs" dxfId="53" priority="37" stopIfTrue="1" operator="equal">
      <formula>"Extremo"</formula>
    </cfRule>
    <cfRule type="cellIs" dxfId="52" priority="38" stopIfTrue="1" operator="equal">
      <formula>"Alto"</formula>
    </cfRule>
  </conditionalFormatting>
  <conditionalFormatting sqref="H26 H29:H31">
    <cfRule type="cellIs" dxfId="51" priority="40" stopIfTrue="1" operator="equal">
      <formula>"Baixo"</formula>
    </cfRule>
  </conditionalFormatting>
  <conditionalFormatting sqref="H26 H29:H31">
    <cfRule type="cellIs" dxfId="50" priority="39" stopIfTrue="1" operator="equal">
      <formula>"Médio"</formula>
    </cfRule>
  </conditionalFormatting>
  <conditionalFormatting sqref="H6:H7">
    <cfRule type="cellIs" dxfId="49" priority="29" stopIfTrue="1" operator="equal">
      <formula>"Extremo"</formula>
    </cfRule>
    <cfRule type="cellIs" dxfId="48" priority="30" stopIfTrue="1" operator="equal">
      <formula>"Alto"</formula>
    </cfRule>
  </conditionalFormatting>
  <conditionalFormatting sqref="H6:H7">
    <cfRule type="cellIs" dxfId="47" priority="32" stopIfTrue="1" operator="equal">
      <formula>"Baixo"</formula>
    </cfRule>
  </conditionalFormatting>
  <conditionalFormatting sqref="H6:H7">
    <cfRule type="cellIs" dxfId="46" priority="31" stopIfTrue="1" operator="equal">
      <formula>"Médio"</formula>
    </cfRule>
  </conditionalFormatting>
  <conditionalFormatting sqref="O6:O7 K6:K7">
    <cfRule type="containsText" dxfId="45" priority="28" stopIfTrue="1" operator="containsText" text="Extremo">
      <formula>NOT(ISERROR(SEARCH("Extremo",K6)))</formula>
    </cfRule>
  </conditionalFormatting>
  <conditionalFormatting sqref="O6:O7 K6:K7">
    <cfRule type="containsText" dxfId="44" priority="27" stopIfTrue="1" operator="containsText" text="Médio">
      <formula>NOT(ISERROR(SEARCH("Médio",K6)))</formula>
    </cfRule>
  </conditionalFormatting>
  <conditionalFormatting sqref="O6:O7 K6:K7">
    <cfRule type="containsText" dxfId="43" priority="26" stopIfTrue="1" operator="containsText" text="Baixo">
      <formula>NOT(ISERROR(SEARCH("Baixo",K6)))</formula>
    </cfRule>
  </conditionalFormatting>
  <conditionalFormatting sqref="O6:O7 K6:K7">
    <cfRule type="containsText" dxfId="42" priority="25" stopIfTrue="1" operator="containsText" text="Alto">
      <formula>NOT(ISERROR(SEARCH("Alto",K6)))</formula>
    </cfRule>
  </conditionalFormatting>
  <conditionalFormatting sqref="H13:H14">
    <cfRule type="cellIs" dxfId="41" priority="21" stopIfTrue="1" operator="equal">
      <formula>"Extremo"</formula>
    </cfRule>
    <cfRule type="cellIs" dxfId="40" priority="22" stopIfTrue="1" operator="equal">
      <formula>"Alto"</formula>
    </cfRule>
  </conditionalFormatting>
  <conditionalFormatting sqref="H13:H14">
    <cfRule type="cellIs" dxfId="39" priority="24" stopIfTrue="1" operator="equal">
      <formula>"Baixo"</formula>
    </cfRule>
  </conditionalFormatting>
  <conditionalFormatting sqref="H13:H14">
    <cfRule type="cellIs" dxfId="38" priority="23" stopIfTrue="1" operator="equal">
      <formula>"Médio"</formula>
    </cfRule>
  </conditionalFormatting>
  <conditionalFormatting sqref="O13:O14 K13:K14">
    <cfRule type="containsText" dxfId="37" priority="20" stopIfTrue="1" operator="containsText" text="Extremo">
      <formula>NOT(ISERROR(SEARCH("Extremo",K13)))</formula>
    </cfRule>
  </conditionalFormatting>
  <conditionalFormatting sqref="O13:O14 K13:K14">
    <cfRule type="containsText" dxfId="36" priority="19" stopIfTrue="1" operator="containsText" text="Médio">
      <formula>NOT(ISERROR(SEARCH("Médio",K13)))</formula>
    </cfRule>
  </conditionalFormatting>
  <conditionalFormatting sqref="O13:O14 K13:K14">
    <cfRule type="containsText" dxfId="35" priority="18" stopIfTrue="1" operator="containsText" text="Baixo">
      <formula>NOT(ISERROR(SEARCH("Baixo",K13)))</formula>
    </cfRule>
  </conditionalFormatting>
  <conditionalFormatting sqref="O13:O14 K13:K14">
    <cfRule type="containsText" dxfId="34" priority="17" stopIfTrue="1" operator="containsText" text="Alto">
      <formula>NOT(ISERROR(SEARCH("Alto",K13)))</formula>
    </cfRule>
  </conditionalFormatting>
  <conditionalFormatting sqref="O20:O21 K20:K21">
    <cfRule type="containsText" dxfId="33" priority="16" stopIfTrue="1" operator="containsText" text="Extremo">
      <formula>NOT(ISERROR(SEARCH("Extremo",K20)))</formula>
    </cfRule>
  </conditionalFormatting>
  <conditionalFormatting sqref="O20:O21 K20:K21">
    <cfRule type="containsText" dxfId="32" priority="15" stopIfTrue="1" operator="containsText" text="Médio">
      <formula>NOT(ISERROR(SEARCH("Médio",K20)))</formula>
    </cfRule>
  </conditionalFormatting>
  <conditionalFormatting sqref="O20:O21 K20:K21">
    <cfRule type="containsText" dxfId="31" priority="14" stopIfTrue="1" operator="containsText" text="Baixo">
      <formula>NOT(ISERROR(SEARCH("Baixo",K20)))</formula>
    </cfRule>
  </conditionalFormatting>
  <conditionalFormatting sqref="O20:O21 K20:K21">
    <cfRule type="containsText" dxfId="30" priority="13" stopIfTrue="1" operator="containsText" text="Alto">
      <formula>NOT(ISERROR(SEARCH("Alto",K20)))</formula>
    </cfRule>
  </conditionalFormatting>
  <conditionalFormatting sqref="H20:H21">
    <cfRule type="cellIs" dxfId="29" priority="9" stopIfTrue="1" operator="equal">
      <formula>"Extremo"</formula>
    </cfRule>
    <cfRule type="cellIs" dxfId="28" priority="10" stopIfTrue="1" operator="equal">
      <formula>"Alto"</formula>
    </cfRule>
  </conditionalFormatting>
  <conditionalFormatting sqref="H20:H21">
    <cfRule type="cellIs" dxfId="27" priority="12" stopIfTrue="1" operator="equal">
      <formula>"Baixo"</formula>
    </cfRule>
  </conditionalFormatting>
  <conditionalFormatting sqref="H20:H21">
    <cfRule type="cellIs" dxfId="26" priority="11" stopIfTrue="1" operator="equal">
      <formula>"Médio"</formula>
    </cfRule>
  </conditionalFormatting>
  <conditionalFormatting sqref="O27:O28 K27:K28">
    <cfRule type="containsText" dxfId="25" priority="8" stopIfTrue="1" operator="containsText" text="Extremo">
      <formula>NOT(ISERROR(SEARCH("Extremo",K27)))</formula>
    </cfRule>
  </conditionalFormatting>
  <conditionalFormatting sqref="O27:O28 K27:K28">
    <cfRule type="containsText" dxfId="24" priority="7" stopIfTrue="1" operator="containsText" text="Médio">
      <formula>NOT(ISERROR(SEARCH("Médio",K27)))</formula>
    </cfRule>
  </conditionalFormatting>
  <conditionalFormatting sqref="O27:O28 K27:K28">
    <cfRule type="containsText" dxfId="23" priority="6" stopIfTrue="1" operator="containsText" text="Baixo">
      <formula>NOT(ISERROR(SEARCH("Baixo",K27)))</formula>
    </cfRule>
  </conditionalFormatting>
  <conditionalFormatting sqref="O27:O28 K27:K28">
    <cfRule type="containsText" dxfId="22" priority="5" stopIfTrue="1" operator="containsText" text="Alto">
      <formula>NOT(ISERROR(SEARCH("Alto",K27)))</formula>
    </cfRule>
  </conditionalFormatting>
  <conditionalFormatting sqref="H27:H28">
    <cfRule type="cellIs" dxfId="21" priority="1" stopIfTrue="1" operator="equal">
      <formula>"Extremo"</formula>
    </cfRule>
    <cfRule type="cellIs" dxfId="20" priority="2" stopIfTrue="1" operator="equal">
      <formula>"Alto"</formula>
    </cfRule>
  </conditionalFormatting>
  <conditionalFormatting sqref="H27:H28">
    <cfRule type="cellIs" dxfId="19" priority="4" stopIfTrue="1" operator="equal">
      <formula>"Baixo"</formula>
    </cfRule>
  </conditionalFormatting>
  <conditionalFormatting sqref="H27:H28">
    <cfRule type="cellIs" dxfId="18" priority="3" stopIfTrue="1" operator="equal">
      <formula>"Médio"</formula>
    </cfRule>
  </conditionalFormatting>
  <dataValidations disablePrompts="1" xWindow="521" yWindow="172" count="6">
    <dataValidation type="list" allowBlank="1" showInputMessage="1" showErrorMessage="1" errorTitle="Dado Inválido" error="Somente é permitido valor constante na lista." sqref="J19:J24 J5:J17 J26:J31" xr:uid="{56478F55-FDBB-47D8-B17B-9DE06EAA222D}">
      <formula1>"Não Selec.,Forte,Satisfatório,Mediano,Fraco,Inexistente"</formula1>
    </dataValidation>
    <dataValidation allowBlank="1" showInputMessage="1" showErrorMessage="1" errorTitle="Dado Inválido" error="Não é possivel alterar o valor desta célula." sqref="H19:H24 H5:H17 H26:H31" xr:uid="{BAE94EE1-E6D9-4810-AAA7-8FA0E6406C95}"/>
    <dataValidation type="list" allowBlank="1" showInputMessage="1" showErrorMessage="1" errorTitle="Dado Inválido" error="Somente é permitido valor constante na lista." sqref="F19:F24 F5:F17 F26:F31" xr:uid="{A734F6D7-DFCF-40F4-9D20-70926E7430C5}">
      <formula1>"Não Selec.,Muito Alto,Alto,Médio,Baixo,Muito Baixo,"</formula1>
    </dataValidation>
    <dataValidation type="list" allowBlank="1" showInputMessage="1" showErrorMessage="1" errorTitle="Dado Inválido" error="Somente é permitido valor constante na lista." sqref="G19:G24 G5:G17 G26:G31" xr:uid="{43D28569-2013-441D-AB7E-C08335102FE9}">
      <formula1>"Não Selec.,Muito Alta,Alta,Média,Baixa,Muito Baixa,"</formula1>
    </dataValidation>
    <dataValidation type="custom" allowBlank="1" showInputMessage="1" showErrorMessage="1" sqref="N5:N10" xr:uid="{7A7D7635-C5A0-48F7-9782-B57063497104}">
      <formula1>"Sim; Não"</formula1>
    </dataValidation>
    <dataValidation allowBlank="1" showInputMessage="1" showErrorMessage="1" errorTitle="Dado Inválido" error="Não é possível alterar o valor desta célula." sqref="O19:O24 O5:O17 K5:K17 K19:K24 K26:K31 O26:O31" xr:uid="{406B3C43-1F78-4A6A-9B9E-FBAE85217E30}"/>
  </dataValidations>
  <pageMargins left="0.51181102362204722" right="0.51181102362204722" top="0.78740157480314965" bottom="0.78740157480314965" header="0.31496062992125984" footer="0.31496062992125984"/>
  <pageSetup paperSize="8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6D90-7742-49A0-8CF3-FEAC9F8575FA}">
  <sheetPr codeName="Plan3"/>
  <dimension ref="A1:AD43"/>
  <sheetViews>
    <sheetView zoomScale="85" zoomScaleNormal="85" workbookViewId="0">
      <selection activeCell="M10" sqref="M10"/>
    </sheetView>
  </sheetViews>
  <sheetFormatPr defaultRowHeight="14.4" x14ac:dyDescent="0.3"/>
  <cols>
    <col min="2" max="2" width="16" customWidth="1"/>
    <col min="3" max="3" width="14.5546875" bestFit="1" customWidth="1"/>
    <col min="4" max="4" width="15.88671875" customWidth="1"/>
    <col min="5" max="5" width="15.5546875" customWidth="1"/>
    <col min="6" max="6" width="15.6640625" customWidth="1"/>
    <col min="7" max="7" width="16.109375" customWidth="1"/>
    <col min="8" max="8" width="17.6640625" customWidth="1"/>
    <col min="10" max="10" width="16.44140625" customWidth="1"/>
    <col min="11" max="11" width="14.6640625" bestFit="1" customWidth="1"/>
    <col min="12" max="12" width="13.5546875" customWidth="1"/>
    <col min="13" max="13" width="14.44140625" customWidth="1"/>
    <col min="14" max="14" width="14.109375" customWidth="1"/>
    <col min="15" max="15" width="14.6640625" customWidth="1"/>
    <col min="17" max="18" width="9.109375" hidden="1" customWidth="1"/>
    <col min="19" max="19" width="13.5546875" hidden="1" customWidth="1"/>
    <col min="20" max="20" width="15" hidden="1" customWidth="1"/>
    <col min="21" max="21" width="17.44140625" hidden="1" customWidth="1"/>
    <col min="22" max="22" width="16.33203125" hidden="1" customWidth="1"/>
    <col min="23" max="23" width="14" hidden="1" customWidth="1"/>
    <col min="24" max="25" width="0" hidden="1" customWidth="1"/>
    <col min="26" max="26" width="14.33203125" hidden="1" customWidth="1"/>
    <col min="27" max="27" width="11.44140625" hidden="1" customWidth="1"/>
    <col min="28" max="28" width="14.6640625" hidden="1" customWidth="1"/>
    <col min="29" max="29" width="12.6640625" hidden="1" customWidth="1"/>
    <col min="30" max="30" width="13.109375" hidden="1" customWidth="1"/>
    <col min="31" max="31" width="0" hidden="1" customWidth="1"/>
  </cols>
  <sheetData>
    <row r="1" spans="1:30" ht="30.75" customHeight="1" thickBot="1" x14ac:dyDescent="0.35">
      <c r="A1" s="278" t="s">
        <v>0</v>
      </c>
      <c r="B1" s="279"/>
      <c r="C1" s="280"/>
      <c r="D1" s="280"/>
      <c r="E1" s="280"/>
      <c r="F1" s="280"/>
      <c r="G1" s="2"/>
      <c r="H1" s="2"/>
      <c r="I1" s="284" t="s">
        <v>13</v>
      </c>
      <c r="J1" s="285"/>
      <c r="K1" s="285"/>
      <c r="L1" s="285"/>
      <c r="M1" s="285"/>
      <c r="N1" s="285"/>
      <c r="O1" s="286"/>
      <c r="S1" s="274" t="s">
        <v>44</v>
      </c>
      <c r="T1" s="274"/>
      <c r="U1" s="274"/>
      <c r="V1" s="274"/>
      <c r="Z1" s="274" t="s">
        <v>45</v>
      </c>
      <c r="AA1" s="274"/>
      <c r="AB1" s="274"/>
      <c r="AC1" s="274"/>
    </row>
    <row r="2" spans="1:30" ht="30.75" customHeight="1" thickBot="1" x14ac:dyDescent="0.35">
      <c r="A2" s="290" t="s">
        <v>114</v>
      </c>
      <c r="B2" s="291"/>
      <c r="C2" s="287" t="s">
        <v>10</v>
      </c>
      <c r="D2" s="288"/>
      <c r="E2" s="288"/>
      <c r="F2" s="288"/>
      <c r="G2" s="289"/>
      <c r="H2" s="2"/>
      <c r="I2" s="6"/>
      <c r="J2" s="7"/>
      <c r="K2" s="281" t="s">
        <v>14</v>
      </c>
      <c r="L2" s="282"/>
      <c r="M2" s="282"/>
      <c r="N2" s="282"/>
      <c r="O2" s="283"/>
      <c r="R2" s="13"/>
      <c r="S2" s="21" t="s">
        <v>15</v>
      </c>
      <c r="T2" s="21" t="s">
        <v>16</v>
      </c>
      <c r="U2" s="21" t="s">
        <v>24</v>
      </c>
      <c r="V2" s="21" t="s">
        <v>17</v>
      </c>
      <c r="W2" s="21" t="s">
        <v>18</v>
      </c>
      <c r="Y2" s="13"/>
      <c r="Z2" s="21" t="s">
        <v>15</v>
      </c>
      <c r="AA2" s="21" t="s">
        <v>16</v>
      </c>
      <c r="AB2" s="21" t="s">
        <v>24</v>
      </c>
      <c r="AC2" s="21" t="s">
        <v>17</v>
      </c>
      <c r="AD2" s="21" t="s">
        <v>18</v>
      </c>
    </row>
    <row r="3" spans="1:30" ht="57.75" customHeight="1" thickBot="1" x14ac:dyDescent="0.35">
      <c r="A3" s="292"/>
      <c r="B3" s="293"/>
      <c r="C3" s="181" t="s">
        <v>27</v>
      </c>
      <c r="D3" s="181" t="s">
        <v>5</v>
      </c>
      <c r="E3" s="181" t="s">
        <v>6</v>
      </c>
      <c r="F3" s="181" t="s">
        <v>7</v>
      </c>
      <c r="G3" s="181" t="s">
        <v>8</v>
      </c>
      <c r="H3" s="2"/>
      <c r="I3" s="6"/>
      <c r="J3" s="7"/>
      <c r="K3" s="5" t="s">
        <v>15</v>
      </c>
      <c r="L3" s="5" t="s">
        <v>16</v>
      </c>
      <c r="M3" s="16" t="s">
        <v>24</v>
      </c>
      <c r="N3" s="5" t="s">
        <v>17</v>
      </c>
      <c r="O3" s="5" t="s">
        <v>18</v>
      </c>
      <c r="R3" s="13"/>
      <c r="S3" s="13">
        <v>0.8</v>
      </c>
      <c r="T3" s="13">
        <v>0.6</v>
      </c>
      <c r="U3" s="13">
        <v>0.4</v>
      </c>
      <c r="V3" s="13">
        <v>0.2</v>
      </c>
      <c r="W3" s="13">
        <v>0</v>
      </c>
      <c r="Y3" s="13"/>
      <c r="Z3" s="13"/>
      <c r="AA3" s="13"/>
      <c r="AB3" s="13"/>
      <c r="AC3" s="13"/>
      <c r="AD3" s="13"/>
    </row>
    <row r="4" spans="1:30" ht="34.5" customHeight="1" thickBot="1" x14ac:dyDescent="0.35">
      <c r="A4" s="275" t="s">
        <v>9</v>
      </c>
      <c r="B4" s="181" t="s">
        <v>1</v>
      </c>
      <c r="C4" s="3" t="s">
        <v>3</v>
      </c>
      <c r="D4" s="3" t="s">
        <v>3</v>
      </c>
      <c r="E4" s="15" t="s">
        <v>2</v>
      </c>
      <c r="F4" s="14" t="s">
        <v>105</v>
      </c>
      <c r="G4" s="14" t="s">
        <v>105</v>
      </c>
      <c r="H4" s="2"/>
      <c r="I4" s="294" t="s">
        <v>19</v>
      </c>
      <c r="J4" s="183" t="s">
        <v>105</v>
      </c>
      <c r="K4" s="45" t="str">
        <f>CONCATENATE(Z4," ",S4)</f>
        <v xml:space="preserve">Médio </v>
      </c>
      <c r="L4" s="47" t="str">
        <f>CONCATENATE(AA4," ",T4)</f>
        <v xml:space="preserve">Alto </v>
      </c>
      <c r="M4" s="47" t="str">
        <f>CONCATENATE(AB4," ",U4)</f>
        <v xml:space="preserve">Alto </v>
      </c>
      <c r="N4" s="46" t="str">
        <f>CONCATENATE(AC4," ",V4)</f>
        <v xml:space="preserve">Extremo </v>
      </c>
      <c r="O4" s="46" t="str">
        <f>CONCATENATE(AD4," ",W4)</f>
        <v xml:space="preserve">Extremo </v>
      </c>
      <c r="R4" s="13">
        <v>100</v>
      </c>
      <c r="S4" s="52"/>
      <c r="T4" s="50"/>
      <c r="U4" s="50"/>
      <c r="V4" s="53"/>
      <c r="W4" s="53"/>
      <c r="Y4" s="13"/>
      <c r="Z4" s="18" t="s">
        <v>3</v>
      </c>
      <c r="AA4" s="20" t="s">
        <v>2</v>
      </c>
      <c r="AB4" s="20" t="s">
        <v>2</v>
      </c>
      <c r="AC4" s="19" t="s">
        <v>105</v>
      </c>
      <c r="AD4" s="19" t="s">
        <v>105</v>
      </c>
    </row>
    <row r="5" spans="1:30" ht="30.75" customHeight="1" thickBot="1" x14ac:dyDescent="0.35">
      <c r="A5" s="276"/>
      <c r="B5" s="181" t="s">
        <v>2</v>
      </c>
      <c r="C5" s="4" t="s">
        <v>4</v>
      </c>
      <c r="D5" s="3" t="s">
        <v>3</v>
      </c>
      <c r="E5" s="15" t="s">
        <v>2</v>
      </c>
      <c r="F5" s="15" t="s">
        <v>2</v>
      </c>
      <c r="G5" s="14" t="s">
        <v>105</v>
      </c>
      <c r="H5" s="2"/>
      <c r="I5" s="295"/>
      <c r="J5" s="183" t="s">
        <v>2</v>
      </c>
      <c r="K5" s="48" t="str">
        <f>CONCATENATE(Z8," "," ",S8)</f>
        <v xml:space="preserve">Baixo  </v>
      </c>
      <c r="L5" s="45" t="str">
        <f>CONCATENATE(AA6," ",T6)</f>
        <v xml:space="preserve">Médio </v>
      </c>
      <c r="M5" s="45" t="str">
        <f>CONCATENATE(AB6," ",U6)</f>
        <v xml:space="preserve">Médio </v>
      </c>
      <c r="N5" s="47" t="str">
        <f>CONCATENATE(AC6," ",V6)</f>
        <v xml:space="preserve">Alto </v>
      </c>
      <c r="O5" s="47" t="str">
        <f>CONCATENATE(AD6," ",W6)</f>
        <v xml:space="preserve">Alto </v>
      </c>
      <c r="R5" s="13">
        <v>80</v>
      </c>
      <c r="S5" s="52"/>
      <c r="T5" s="52"/>
      <c r="U5" s="50"/>
      <c r="V5" s="50"/>
      <c r="W5" s="51"/>
      <c r="Y5" s="13"/>
      <c r="Z5" s="18" t="s">
        <v>3</v>
      </c>
      <c r="AA5" s="18" t="s">
        <v>3</v>
      </c>
      <c r="AB5" s="20" t="s">
        <v>2</v>
      </c>
      <c r="AC5" s="20" t="s">
        <v>2</v>
      </c>
      <c r="AD5" s="19" t="s">
        <v>105</v>
      </c>
    </row>
    <row r="6" spans="1:30" ht="30.75" customHeight="1" thickBot="1" x14ac:dyDescent="0.35">
      <c r="A6" s="276"/>
      <c r="B6" s="181" t="s">
        <v>3</v>
      </c>
      <c r="C6" s="4" t="s">
        <v>4</v>
      </c>
      <c r="D6" s="3" t="s">
        <v>3</v>
      </c>
      <c r="E6" s="3" t="s">
        <v>3</v>
      </c>
      <c r="F6" s="15" t="s">
        <v>2</v>
      </c>
      <c r="G6" s="15" t="s">
        <v>2</v>
      </c>
      <c r="H6" s="2"/>
      <c r="I6" s="295"/>
      <c r="J6" s="184" t="s">
        <v>3</v>
      </c>
      <c r="K6" s="48" t="str">
        <f>CONCATENATE(Z9," "," ",S9)</f>
        <v xml:space="preserve">Baixo  </v>
      </c>
      <c r="L6" s="48" t="s">
        <v>119</v>
      </c>
      <c r="M6" s="48" t="s">
        <v>119</v>
      </c>
      <c r="N6" s="45" t="str">
        <f>CONCATENATE(AC9," ",V9)</f>
        <v xml:space="preserve">Médio </v>
      </c>
      <c r="O6" s="45" t="str">
        <f>CONCATENATE(AD9," ",W9)</f>
        <v xml:space="preserve">Médio </v>
      </c>
      <c r="R6" s="13">
        <v>64</v>
      </c>
      <c r="S6" s="52"/>
      <c r="T6" s="52"/>
      <c r="U6" s="52"/>
      <c r="V6" s="50"/>
      <c r="W6" s="50"/>
      <c r="Y6" s="13"/>
      <c r="Z6" s="18" t="s">
        <v>3</v>
      </c>
      <c r="AA6" s="18" t="s">
        <v>3</v>
      </c>
      <c r="AB6" s="18" t="s">
        <v>3</v>
      </c>
      <c r="AC6" s="20" t="s">
        <v>2</v>
      </c>
      <c r="AD6" s="20" t="s">
        <v>2</v>
      </c>
    </row>
    <row r="7" spans="1:30" ht="30.75" customHeight="1" thickBot="1" x14ac:dyDescent="0.35">
      <c r="A7" s="276"/>
      <c r="B7" s="181" t="s">
        <v>4</v>
      </c>
      <c r="C7" s="4" t="s">
        <v>4</v>
      </c>
      <c r="D7" s="4" t="s">
        <v>4</v>
      </c>
      <c r="E7" s="3" t="s">
        <v>3</v>
      </c>
      <c r="F7" s="3" t="s">
        <v>3</v>
      </c>
      <c r="G7" s="3" t="s">
        <v>3</v>
      </c>
      <c r="H7" s="2"/>
      <c r="I7" s="296"/>
      <c r="J7" s="184" t="s">
        <v>4</v>
      </c>
      <c r="K7" s="48" t="str">
        <f>CONCATENATE(Z16," "," ",S16)</f>
        <v xml:space="preserve">Baixo  </v>
      </c>
      <c r="L7" s="48" t="str">
        <f>CONCATENATE(AA16," "," ",T16)</f>
        <v xml:space="preserve">Baixo  </v>
      </c>
      <c r="M7" s="48" t="str">
        <f>CONCATENATE(AB16," ", " ",U16)</f>
        <v xml:space="preserve">Baixo  </v>
      </c>
      <c r="N7" s="48" t="str">
        <f>CONCATENATE(AC16," "," ",V16)</f>
        <v xml:space="preserve">Baixo  </v>
      </c>
      <c r="O7" s="48" t="str">
        <f>CONCATENATE(AD16," "," ",W16)</f>
        <v xml:space="preserve">Baixo  </v>
      </c>
      <c r="R7" s="13">
        <v>50</v>
      </c>
      <c r="S7" s="52"/>
      <c r="T7" s="52"/>
      <c r="U7" s="52"/>
      <c r="V7" s="50"/>
      <c r="W7" s="50"/>
      <c r="Y7" s="13"/>
      <c r="Z7" s="18" t="s">
        <v>3</v>
      </c>
      <c r="AA7" s="18" t="s">
        <v>3</v>
      </c>
      <c r="AB7" s="18" t="s">
        <v>3</v>
      </c>
      <c r="AC7" s="20" t="s">
        <v>2</v>
      </c>
      <c r="AD7" s="20" t="s">
        <v>2</v>
      </c>
    </row>
    <row r="8" spans="1:30" ht="30.75" customHeight="1" thickBot="1" x14ac:dyDescent="0.35">
      <c r="A8" s="277"/>
      <c r="B8" s="181" t="s">
        <v>26</v>
      </c>
      <c r="C8" s="4" t="s">
        <v>4</v>
      </c>
      <c r="D8" s="4" t="s">
        <v>4</v>
      </c>
      <c r="E8" s="4" t="s">
        <v>4</v>
      </c>
      <c r="F8" s="4" t="s">
        <v>4</v>
      </c>
      <c r="G8" s="3" t="s">
        <v>3</v>
      </c>
      <c r="H8" s="2"/>
      <c r="I8" s="185"/>
      <c r="R8" s="13">
        <v>40</v>
      </c>
      <c r="S8" s="49"/>
      <c r="T8" s="52"/>
      <c r="U8" s="52"/>
      <c r="V8" s="52"/>
      <c r="W8" s="50"/>
      <c r="Y8" s="13"/>
      <c r="Z8" s="17" t="s">
        <v>4</v>
      </c>
      <c r="AA8" s="18" t="s">
        <v>3</v>
      </c>
      <c r="AB8" s="18" t="s">
        <v>3</v>
      </c>
      <c r="AC8" s="18" t="s">
        <v>3</v>
      </c>
      <c r="AD8" s="20" t="s">
        <v>2</v>
      </c>
    </row>
    <row r="9" spans="1:30" ht="30.75" customHeight="1" x14ac:dyDescent="0.3">
      <c r="A9" s="157"/>
      <c r="B9" s="158"/>
      <c r="C9" s="159"/>
      <c r="D9" s="159"/>
      <c r="E9" s="159"/>
      <c r="F9" s="159"/>
      <c r="G9" s="159"/>
      <c r="H9" s="2"/>
      <c r="I9" s="157"/>
      <c r="R9" s="13">
        <v>25</v>
      </c>
      <c r="S9" s="49"/>
      <c r="T9" s="52"/>
      <c r="U9" s="52"/>
      <c r="V9" s="52"/>
      <c r="W9" s="52"/>
      <c r="Y9" s="13"/>
      <c r="Z9" s="17" t="s">
        <v>4</v>
      </c>
      <c r="AA9" s="18" t="s">
        <v>3</v>
      </c>
      <c r="AB9" s="18" t="s">
        <v>3</v>
      </c>
      <c r="AC9" s="18" t="s">
        <v>3</v>
      </c>
      <c r="AD9" s="18" t="s">
        <v>3</v>
      </c>
    </row>
    <row r="10" spans="1:30" ht="30.75" customHeight="1" x14ac:dyDescent="0.3">
      <c r="R10" s="13">
        <v>20</v>
      </c>
      <c r="S10" s="49"/>
      <c r="T10" s="49"/>
      <c r="U10" s="52"/>
      <c r="V10" s="52"/>
      <c r="W10" s="52"/>
      <c r="Y10" s="13"/>
      <c r="Z10" s="17" t="s">
        <v>4</v>
      </c>
      <c r="AA10" s="17" t="s">
        <v>4</v>
      </c>
      <c r="AB10" s="18" t="s">
        <v>3</v>
      </c>
      <c r="AC10" s="18" t="s">
        <v>3</v>
      </c>
      <c r="AD10" s="18" t="s">
        <v>3</v>
      </c>
    </row>
    <row r="11" spans="1:30" ht="30.75" customHeight="1" x14ac:dyDescent="0.3">
      <c r="A11" s="2"/>
      <c r="B11" s="2"/>
      <c r="C11" s="2"/>
      <c r="D11" s="2"/>
      <c r="E11" s="2"/>
      <c r="F11" s="2"/>
      <c r="G11" s="2"/>
      <c r="H11" s="2"/>
      <c r="R11" s="13">
        <v>16</v>
      </c>
      <c r="S11" s="49"/>
      <c r="T11" s="49"/>
      <c r="U11" s="52"/>
      <c r="V11" s="52"/>
      <c r="W11" s="52"/>
      <c r="Y11" s="13"/>
      <c r="Z11" s="17" t="s">
        <v>4</v>
      </c>
      <c r="AA11" s="17" t="s">
        <v>4</v>
      </c>
      <c r="AB11" s="18" t="s">
        <v>3</v>
      </c>
      <c r="AC11" s="18" t="s">
        <v>3</v>
      </c>
      <c r="AD11" s="18" t="s">
        <v>3</v>
      </c>
    </row>
    <row r="12" spans="1:30" ht="30.75" customHeight="1" x14ac:dyDescent="0.3">
      <c r="A12" s="2"/>
      <c r="B12" s="2"/>
      <c r="C12" s="2"/>
      <c r="D12" s="2"/>
      <c r="E12" s="2"/>
      <c r="F12" s="2"/>
      <c r="G12" s="2"/>
      <c r="H12" s="2"/>
      <c r="R12" s="13">
        <v>10</v>
      </c>
      <c r="S12" s="49"/>
      <c r="T12" s="49"/>
      <c r="U12" s="49"/>
      <c r="V12" s="49"/>
      <c r="W12" s="52"/>
      <c r="Y12" s="13"/>
      <c r="Z12" s="17" t="s">
        <v>4</v>
      </c>
      <c r="AA12" s="17" t="s">
        <v>4</v>
      </c>
      <c r="AB12" s="17" t="s">
        <v>4</v>
      </c>
      <c r="AC12" s="17" t="s">
        <v>4</v>
      </c>
      <c r="AD12" s="18" t="s">
        <v>3</v>
      </c>
    </row>
    <row r="13" spans="1:30" ht="30.75" customHeight="1" x14ac:dyDescent="0.3">
      <c r="A13" s="2"/>
      <c r="B13" s="2"/>
      <c r="C13" s="2"/>
      <c r="D13" s="2"/>
      <c r="E13" s="2"/>
      <c r="F13" s="2"/>
      <c r="G13" s="2"/>
      <c r="H13" s="2"/>
      <c r="R13" s="13">
        <v>8</v>
      </c>
      <c r="S13" s="49"/>
      <c r="T13" s="49"/>
      <c r="U13" s="49"/>
      <c r="V13" s="49"/>
      <c r="W13" s="49"/>
      <c r="Y13" s="13"/>
      <c r="Z13" s="17" t="s">
        <v>4</v>
      </c>
      <c r="AA13" s="17" t="s">
        <v>4</v>
      </c>
      <c r="AB13" s="17" t="s">
        <v>4</v>
      </c>
      <c r="AC13" s="17" t="s">
        <v>4</v>
      </c>
      <c r="AD13" s="17" t="s">
        <v>4</v>
      </c>
    </row>
    <row r="14" spans="1:30" ht="30.75" customHeight="1" x14ac:dyDescent="0.3">
      <c r="A14" s="2"/>
      <c r="B14" s="2"/>
      <c r="C14" s="2"/>
      <c r="D14" s="2"/>
      <c r="E14" s="2"/>
      <c r="F14" s="2"/>
      <c r="G14" s="2"/>
      <c r="H14" s="2"/>
      <c r="R14" s="13">
        <v>5</v>
      </c>
      <c r="S14" s="49"/>
      <c r="T14" s="49"/>
      <c r="U14" s="49"/>
      <c r="V14" s="49"/>
      <c r="W14" s="49"/>
      <c r="Y14" s="13"/>
      <c r="Z14" s="17" t="s">
        <v>4</v>
      </c>
      <c r="AA14" s="17" t="s">
        <v>4</v>
      </c>
      <c r="AB14" s="17" t="s">
        <v>4</v>
      </c>
      <c r="AC14" s="17" t="s">
        <v>4</v>
      </c>
      <c r="AD14" s="17" t="s">
        <v>4</v>
      </c>
    </row>
    <row r="15" spans="1:30" ht="30.75" customHeight="1" x14ac:dyDescent="0.3">
      <c r="A15" s="2"/>
      <c r="B15" s="2"/>
      <c r="C15" s="2"/>
      <c r="D15" s="2"/>
      <c r="E15" s="2"/>
      <c r="F15" s="2"/>
      <c r="G15" s="2"/>
      <c r="H15" s="2"/>
      <c r="R15" s="13">
        <v>4</v>
      </c>
      <c r="S15" s="49"/>
      <c r="T15" s="49"/>
      <c r="U15" s="49"/>
      <c r="V15" s="49"/>
      <c r="W15" s="49"/>
      <c r="Y15" s="13"/>
      <c r="Z15" s="17" t="s">
        <v>4</v>
      </c>
      <c r="AA15" s="17" t="s">
        <v>4</v>
      </c>
      <c r="AB15" s="17" t="s">
        <v>4</v>
      </c>
      <c r="AC15" s="17" t="s">
        <v>4</v>
      </c>
      <c r="AD15" s="17" t="s">
        <v>4</v>
      </c>
    </row>
    <row r="16" spans="1:30" ht="30.75" customHeight="1" x14ac:dyDescent="0.3">
      <c r="A16" s="2"/>
      <c r="B16" s="2"/>
      <c r="C16" s="2"/>
      <c r="D16" s="2"/>
      <c r="E16" s="2"/>
      <c r="F16" s="2"/>
      <c r="G16" s="2"/>
      <c r="H16" s="2"/>
      <c r="R16" s="13">
        <v>2</v>
      </c>
      <c r="S16" s="49"/>
      <c r="T16" s="49"/>
      <c r="U16" s="49"/>
      <c r="V16" s="49"/>
      <c r="W16" s="49"/>
      <c r="Y16" s="13"/>
      <c r="Z16" s="17" t="s">
        <v>4</v>
      </c>
      <c r="AA16" s="17" t="s">
        <v>4</v>
      </c>
      <c r="AB16" s="17" t="s">
        <v>4</v>
      </c>
      <c r="AC16" s="17" t="s">
        <v>4</v>
      </c>
      <c r="AD16" s="17" t="s">
        <v>4</v>
      </c>
    </row>
    <row r="17" spans="1:30" ht="30.75" customHeight="1" x14ac:dyDescent="0.3">
      <c r="A17" s="2"/>
      <c r="B17" s="2"/>
      <c r="C17" s="2"/>
      <c r="D17" s="2"/>
      <c r="E17" s="2"/>
      <c r="F17" s="2"/>
      <c r="G17" s="2"/>
      <c r="H17" s="2"/>
      <c r="R17" s="13">
        <v>1</v>
      </c>
      <c r="S17" s="49"/>
      <c r="T17" s="49"/>
      <c r="U17" s="49"/>
      <c r="V17" s="49"/>
      <c r="W17" s="49"/>
      <c r="Y17" s="13"/>
      <c r="Z17" s="17" t="s">
        <v>4</v>
      </c>
      <c r="AA17" s="17" t="s">
        <v>4</v>
      </c>
      <c r="AB17" s="17" t="s">
        <v>4</v>
      </c>
      <c r="AC17" s="17" t="s">
        <v>4</v>
      </c>
      <c r="AD17" s="17" t="s">
        <v>4</v>
      </c>
    </row>
    <row r="20" spans="1:30" ht="15" customHeight="1" x14ac:dyDescent="0.3"/>
    <row r="21" spans="1:30" ht="15" customHeight="1" x14ac:dyDescent="0.3"/>
    <row r="22" spans="1:30" ht="15" customHeight="1" x14ac:dyDescent="0.3"/>
    <row r="23" spans="1:30" ht="15" customHeight="1" x14ac:dyDescent="0.3"/>
    <row r="24" spans="1:30" ht="15" customHeight="1" x14ac:dyDescent="0.3"/>
    <row r="25" spans="1:30" ht="15" customHeight="1" x14ac:dyDescent="0.3"/>
    <row r="26" spans="1:30" ht="15" customHeight="1" x14ac:dyDescent="0.3"/>
    <row r="27" spans="1:30" ht="15" customHeight="1" x14ac:dyDescent="0.3"/>
    <row r="28" spans="1:30" ht="15" customHeight="1" x14ac:dyDescent="0.3"/>
    <row r="29" spans="1:30" ht="15" customHeight="1" x14ac:dyDescent="0.3"/>
    <row r="30" spans="1:30" ht="15" customHeight="1" x14ac:dyDescent="0.3"/>
    <row r="31" spans="1:30" ht="15" customHeight="1" x14ac:dyDescent="0.3"/>
    <row r="32" spans="1:30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</sheetData>
  <mergeCells count="9">
    <mergeCell ref="Z1:AC1"/>
    <mergeCell ref="S1:V1"/>
    <mergeCell ref="A4:A8"/>
    <mergeCell ref="A1:F1"/>
    <mergeCell ref="K2:O2"/>
    <mergeCell ref="I1:O1"/>
    <mergeCell ref="C2:G2"/>
    <mergeCell ref="A2:B3"/>
    <mergeCell ref="I4:I7"/>
  </mergeCells>
  <pageMargins left="0.11811023622047245" right="0.11811023622047245" top="0.78740157480314965" bottom="0.78740157480314965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AD73-A547-44A0-A754-B9B5C2D8BFEC}">
  <sheetPr codeName="Plan2"/>
  <dimension ref="A1:Y27"/>
  <sheetViews>
    <sheetView topLeftCell="A10" zoomScale="115" zoomScaleNormal="115" workbookViewId="0">
      <selection activeCell="I36" sqref="I36"/>
    </sheetView>
  </sheetViews>
  <sheetFormatPr defaultRowHeight="14.4" x14ac:dyDescent="0.3"/>
  <cols>
    <col min="1" max="1" width="9.88671875" customWidth="1"/>
    <col min="2" max="2" width="11.5546875" customWidth="1"/>
    <col min="6" max="6" width="4.6640625" customWidth="1"/>
    <col min="7" max="7" width="3.5546875" customWidth="1"/>
    <col min="8" max="8" width="2.88671875" customWidth="1"/>
    <col min="9" max="9" width="20.109375" customWidth="1"/>
    <col min="17" max="17" width="6.109375" customWidth="1"/>
    <col min="25" max="25" width="12.6640625" customWidth="1"/>
  </cols>
  <sheetData>
    <row r="1" spans="1:25" ht="15" customHeight="1" x14ac:dyDescent="0.3">
      <c r="A1" s="297" t="s">
        <v>50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</row>
    <row r="2" spans="1:25" ht="15" customHeight="1" x14ac:dyDescent="0.3">
      <c r="A2" s="297"/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7"/>
      <c r="W2" s="297"/>
      <c r="X2" s="297"/>
      <c r="Y2" s="297"/>
    </row>
    <row r="3" spans="1:25" x14ac:dyDescent="0.3">
      <c r="A3" s="61" t="s">
        <v>51</v>
      </c>
      <c r="I3" s="61" t="s">
        <v>52</v>
      </c>
    </row>
    <row r="4" spans="1:25" x14ac:dyDescent="0.3">
      <c r="A4" s="298" t="s">
        <v>10</v>
      </c>
      <c r="B4" s="299"/>
      <c r="C4" s="299"/>
      <c r="D4" s="299"/>
      <c r="E4" s="300"/>
      <c r="I4" s="62" t="s">
        <v>53</v>
      </c>
      <c r="J4" s="63" t="s">
        <v>54</v>
      </c>
      <c r="K4" s="63" t="s">
        <v>55</v>
      </c>
      <c r="L4" s="63" t="s">
        <v>56</v>
      </c>
      <c r="M4" s="63" t="s">
        <v>57</v>
      </c>
      <c r="N4" s="63" t="s">
        <v>58</v>
      </c>
    </row>
    <row r="5" spans="1:25" ht="15" customHeight="1" x14ac:dyDescent="0.3">
      <c r="A5" s="64">
        <v>0.1</v>
      </c>
      <c r="B5" s="65">
        <v>0.2</v>
      </c>
      <c r="C5" s="65">
        <v>0.5</v>
      </c>
      <c r="D5" s="65">
        <v>0.8</v>
      </c>
      <c r="E5" s="66">
        <v>1</v>
      </c>
      <c r="I5" s="38" t="s">
        <v>10</v>
      </c>
      <c r="J5" s="67">
        <v>0.1</v>
      </c>
      <c r="K5" s="67">
        <v>0.2</v>
      </c>
      <c r="L5" s="67">
        <v>0.5</v>
      </c>
      <c r="M5" s="67">
        <v>0.8</v>
      </c>
      <c r="N5" s="67">
        <v>1</v>
      </c>
      <c r="P5" s="61" t="s">
        <v>59</v>
      </c>
      <c r="U5" s="68"/>
    </row>
    <row r="6" spans="1:25" ht="15" customHeight="1" x14ac:dyDescent="0.3">
      <c r="A6" s="69">
        <f>$F$6*A5</f>
        <v>0.1</v>
      </c>
      <c r="B6" s="70">
        <f>$F$6*B5</f>
        <v>0.2</v>
      </c>
      <c r="C6" s="71">
        <f>$F$6*C5</f>
        <v>0.5</v>
      </c>
      <c r="D6" s="72">
        <f>$F$6*D5</f>
        <v>0.8</v>
      </c>
      <c r="E6" s="73">
        <f>$F$6*E5</f>
        <v>1</v>
      </c>
      <c r="F6" s="74">
        <v>1</v>
      </c>
      <c r="G6" s="301" t="s">
        <v>9</v>
      </c>
      <c r="I6" s="38" t="s">
        <v>9</v>
      </c>
      <c r="J6" s="67">
        <v>0.1</v>
      </c>
      <c r="K6" s="67">
        <v>0.2</v>
      </c>
      <c r="L6" s="67">
        <v>0.5</v>
      </c>
      <c r="M6" s="67">
        <v>0.8</v>
      </c>
      <c r="N6" s="67">
        <v>1</v>
      </c>
      <c r="P6" s="304" t="s">
        <v>60</v>
      </c>
      <c r="Q6" s="305"/>
      <c r="R6" s="308" t="s">
        <v>61</v>
      </c>
      <c r="S6" s="309"/>
      <c r="T6" s="309"/>
      <c r="U6" s="309"/>
      <c r="V6" s="309"/>
      <c r="W6" s="310"/>
    </row>
    <row r="7" spans="1:25" x14ac:dyDescent="0.3">
      <c r="A7" s="75">
        <f>$F$7*A5</f>
        <v>8.0000000000000016E-2</v>
      </c>
      <c r="B7" s="70">
        <f>$F$7*B5</f>
        <v>0.16000000000000003</v>
      </c>
      <c r="C7" s="71">
        <f>$F$7*C5</f>
        <v>0.4</v>
      </c>
      <c r="D7" s="71">
        <f>$F$7*D5</f>
        <v>0.64000000000000012</v>
      </c>
      <c r="E7" s="73">
        <f>$F$7*E5</f>
        <v>0.8</v>
      </c>
      <c r="F7" s="74">
        <v>0.8</v>
      </c>
      <c r="G7" s="302"/>
      <c r="I7" s="311" t="s">
        <v>62</v>
      </c>
      <c r="J7" s="76">
        <f>J5*J6</f>
        <v>1.0000000000000002E-2</v>
      </c>
      <c r="K7" s="76">
        <f>J5*M6</f>
        <v>8.0000000000000016E-2</v>
      </c>
      <c r="L7" s="77">
        <f>L5*L6</f>
        <v>0.25</v>
      </c>
      <c r="M7" s="78">
        <f>M5*M6</f>
        <v>0.64000000000000012</v>
      </c>
      <c r="N7" s="79">
        <f>N5*N6</f>
        <v>1</v>
      </c>
      <c r="P7" s="306"/>
      <c r="Q7" s="307"/>
      <c r="R7" s="80">
        <v>0.2</v>
      </c>
      <c r="S7" s="80">
        <v>0.25</v>
      </c>
      <c r="T7" s="81">
        <v>0.5</v>
      </c>
      <c r="U7" s="82">
        <v>0.64</v>
      </c>
      <c r="V7" s="83">
        <v>0.8</v>
      </c>
      <c r="W7" s="84">
        <v>1</v>
      </c>
    </row>
    <row r="8" spans="1:25" x14ac:dyDescent="0.3">
      <c r="A8" s="75">
        <f>$F$8*A5</f>
        <v>0.05</v>
      </c>
      <c r="B8" s="70">
        <f>$F$8*B5</f>
        <v>0.1</v>
      </c>
      <c r="C8" s="70">
        <f>$F$8*C5</f>
        <v>0.25</v>
      </c>
      <c r="D8" s="71">
        <f>$F$8*D5</f>
        <v>0.4</v>
      </c>
      <c r="E8" s="85">
        <f>$F$8*E5</f>
        <v>0.5</v>
      </c>
      <c r="F8" s="74">
        <v>0.5</v>
      </c>
      <c r="G8" s="302"/>
      <c r="I8" s="312"/>
      <c r="J8" s="313" t="s">
        <v>63</v>
      </c>
      <c r="K8" s="314"/>
      <c r="L8" s="86" t="s">
        <v>64</v>
      </c>
      <c r="M8" s="87" t="s">
        <v>65</v>
      </c>
      <c r="N8" s="88" t="s">
        <v>66</v>
      </c>
      <c r="P8" s="62" t="s">
        <v>67</v>
      </c>
      <c r="Q8" s="89" t="s">
        <v>68</v>
      </c>
      <c r="R8" s="315" t="s">
        <v>69</v>
      </c>
      <c r="S8" s="316"/>
      <c r="T8" s="316"/>
      <c r="U8" s="316"/>
      <c r="V8" s="316"/>
      <c r="W8" s="317"/>
    </row>
    <row r="9" spans="1:25" x14ac:dyDescent="0.3">
      <c r="A9" s="75">
        <f>$F$9*A5</f>
        <v>2.0000000000000004E-2</v>
      </c>
      <c r="B9" s="90">
        <f>$F$9*B5</f>
        <v>4.0000000000000008E-2</v>
      </c>
      <c r="C9" s="70">
        <f>$F$9*C5</f>
        <v>0.1</v>
      </c>
      <c r="D9" s="70">
        <f>$F$9*D5</f>
        <v>0.16000000000000003</v>
      </c>
      <c r="E9" s="91">
        <f>$F$9*E5</f>
        <v>0.2</v>
      </c>
      <c r="F9" s="74">
        <v>0.2</v>
      </c>
      <c r="G9" s="302"/>
      <c r="J9" s="61" t="s">
        <v>70</v>
      </c>
      <c r="P9" s="57" t="s">
        <v>71</v>
      </c>
      <c r="Q9" s="92">
        <v>1</v>
      </c>
      <c r="R9" s="93">
        <f t="shared" ref="R9:W9" si="0">R7*$Q$9</f>
        <v>0.2</v>
      </c>
      <c r="S9" s="93">
        <f t="shared" si="0"/>
        <v>0.25</v>
      </c>
      <c r="T9" s="94">
        <f t="shared" si="0"/>
        <v>0.5</v>
      </c>
      <c r="U9" s="94">
        <f t="shared" si="0"/>
        <v>0.64</v>
      </c>
      <c r="V9" s="95">
        <f t="shared" si="0"/>
        <v>0.8</v>
      </c>
      <c r="W9" s="95">
        <f t="shared" si="0"/>
        <v>1</v>
      </c>
    </row>
    <row r="10" spans="1:25" x14ac:dyDescent="0.3">
      <c r="A10" s="96">
        <f>$F$10*A5</f>
        <v>1.0000000000000002E-2</v>
      </c>
      <c r="B10" s="97">
        <f>$F$10*B5</f>
        <v>2.0000000000000004E-2</v>
      </c>
      <c r="C10" s="97">
        <f>$F$10*C5</f>
        <v>0.05</v>
      </c>
      <c r="D10" s="97">
        <f>$F$10*D5</f>
        <v>8.0000000000000016E-2</v>
      </c>
      <c r="E10" s="98">
        <f>$F$10*E5</f>
        <v>0.1</v>
      </c>
      <c r="F10" s="74">
        <v>0.1</v>
      </c>
      <c r="G10" s="303"/>
      <c r="J10" s="318" t="s">
        <v>72</v>
      </c>
      <c r="K10" s="319"/>
      <c r="L10" s="319"/>
      <c r="M10" s="319"/>
      <c r="N10" s="320"/>
      <c r="P10" s="99" t="s">
        <v>17</v>
      </c>
      <c r="Q10" s="92">
        <v>0.8</v>
      </c>
      <c r="R10" s="100">
        <f t="shared" ref="R10:W10" si="1">R7*$Q$10</f>
        <v>0.16000000000000003</v>
      </c>
      <c r="S10" s="93">
        <f t="shared" si="1"/>
        <v>0.2</v>
      </c>
      <c r="T10" s="93">
        <f t="shared" si="1"/>
        <v>0.4</v>
      </c>
      <c r="U10" s="94">
        <f t="shared" si="1"/>
        <v>0.51200000000000001</v>
      </c>
      <c r="V10" s="94">
        <f t="shared" si="1"/>
        <v>0.64000000000000012</v>
      </c>
      <c r="W10" s="95">
        <f t="shared" si="1"/>
        <v>0.8</v>
      </c>
    </row>
    <row r="11" spans="1:25" ht="15" customHeight="1" x14ac:dyDescent="0.3">
      <c r="J11" s="321"/>
      <c r="K11" s="322"/>
      <c r="L11" s="322"/>
      <c r="M11" s="322"/>
      <c r="N11" s="323"/>
      <c r="P11" s="55" t="s">
        <v>24</v>
      </c>
      <c r="Q11" s="92">
        <v>0.6</v>
      </c>
      <c r="R11" s="100">
        <f t="shared" ref="R11:W11" si="2">R7*$Q$11</f>
        <v>0.12</v>
      </c>
      <c r="S11" s="93">
        <f t="shared" si="2"/>
        <v>0.15</v>
      </c>
      <c r="T11" s="93">
        <f t="shared" si="2"/>
        <v>0.3</v>
      </c>
      <c r="U11" s="93">
        <f t="shared" si="2"/>
        <v>0.38400000000000001</v>
      </c>
      <c r="V11" s="94">
        <f t="shared" si="2"/>
        <v>0.48</v>
      </c>
      <c r="W11" s="94">
        <f t="shared" si="2"/>
        <v>0.6</v>
      </c>
    </row>
    <row r="12" spans="1:25" ht="15" customHeight="1" x14ac:dyDescent="0.3">
      <c r="A12" s="298" t="s">
        <v>73</v>
      </c>
      <c r="B12" s="300"/>
      <c r="C12" s="298" t="s">
        <v>74</v>
      </c>
      <c r="D12" s="299"/>
      <c r="E12" s="300"/>
      <c r="J12" s="321"/>
      <c r="K12" s="322"/>
      <c r="L12" s="322"/>
      <c r="M12" s="322"/>
      <c r="N12" s="323"/>
      <c r="P12" s="60" t="s">
        <v>75</v>
      </c>
      <c r="Q12" s="92">
        <v>0.4</v>
      </c>
      <c r="R12" s="100">
        <f t="shared" ref="R12:W12" si="3">R7*$Q$12</f>
        <v>8.0000000000000016E-2</v>
      </c>
      <c r="S12" s="93">
        <f t="shared" si="3"/>
        <v>0.1</v>
      </c>
      <c r="T12" s="93">
        <f t="shared" si="3"/>
        <v>0.2</v>
      </c>
      <c r="U12" s="93">
        <f t="shared" si="3"/>
        <v>0.25600000000000001</v>
      </c>
      <c r="V12" s="93">
        <f t="shared" si="3"/>
        <v>0.32000000000000006</v>
      </c>
      <c r="W12" s="94">
        <f t="shared" si="3"/>
        <v>0.4</v>
      </c>
    </row>
    <row r="13" spans="1:25" ht="15" customHeight="1" x14ac:dyDescent="0.3">
      <c r="A13" s="340" t="s">
        <v>76</v>
      </c>
      <c r="B13" s="342" t="s">
        <v>77</v>
      </c>
      <c r="C13" s="101">
        <v>0</v>
      </c>
      <c r="D13" s="102">
        <v>9.9000000000000005E-2</v>
      </c>
      <c r="E13" s="103" t="s">
        <v>63</v>
      </c>
      <c r="J13" s="324"/>
      <c r="K13" s="325"/>
      <c r="L13" s="325"/>
      <c r="M13" s="325"/>
      <c r="N13" s="326"/>
      <c r="P13" s="56" t="s">
        <v>15</v>
      </c>
      <c r="Q13" s="92">
        <v>0.2</v>
      </c>
      <c r="R13" s="100">
        <f t="shared" ref="R13:W13" si="4">R7*$Q$13</f>
        <v>4.0000000000000008E-2</v>
      </c>
      <c r="S13" s="100">
        <f t="shared" si="4"/>
        <v>0.05</v>
      </c>
      <c r="T13" s="100">
        <f t="shared" si="4"/>
        <v>0.1</v>
      </c>
      <c r="U13" s="93">
        <f t="shared" si="4"/>
        <v>0.128</v>
      </c>
      <c r="V13" s="93">
        <f t="shared" si="4"/>
        <v>0.16000000000000003</v>
      </c>
      <c r="W13" s="93">
        <f t="shared" si="4"/>
        <v>0.2</v>
      </c>
    </row>
    <row r="14" spans="1:25" x14ac:dyDescent="0.3">
      <c r="A14" s="341"/>
      <c r="B14" s="343"/>
      <c r="C14" s="104">
        <v>0.1</v>
      </c>
      <c r="D14" s="105">
        <v>0.39900000000000002</v>
      </c>
      <c r="E14" s="106" t="s">
        <v>64</v>
      </c>
      <c r="J14" s="107" t="s">
        <v>78</v>
      </c>
      <c r="K14" s="2"/>
      <c r="L14" s="2"/>
      <c r="M14" s="2"/>
      <c r="N14" s="2"/>
    </row>
    <row r="15" spans="1:25" x14ac:dyDescent="0.3">
      <c r="A15" s="344" t="s">
        <v>79</v>
      </c>
      <c r="B15" s="346" t="s">
        <v>80</v>
      </c>
      <c r="C15" s="108">
        <v>0.4</v>
      </c>
      <c r="D15" s="109">
        <v>0.79900000000000004</v>
      </c>
      <c r="E15" s="110" t="s">
        <v>65</v>
      </c>
      <c r="J15" s="54">
        <v>8</v>
      </c>
      <c r="K15" s="111">
        <v>9</v>
      </c>
      <c r="L15" s="112">
        <v>5</v>
      </c>
      <c r="M15" s="113">
        <v>3</v>
      </c>
      <c r="N15" s="114">
        <f>SUM(J15:M15)</f>
        <v>25</v>
      </c>
    </row>
    <row r="16" spans="1:25" x14ac:dyDescent="0.3">
      <c r="A16" s="345"/>
      <c r="B16" s="347"/>
      <c r="C16" s="115">
        <v>0.8</v>
      </c>
      <c r="D16" s="116">
        <v>1</v>
      </c>
      <c r="E16" s="117" t="s">
        <v>66</v>
      </c>
      <c r="J16" s="118">
        <f>J15/$N$15</f>
        <v>0.32</v>
      </c>
      <c r="K16" s="119">
        <f>K15/$N$15</f>
        <v>0.36</v>
      </c>
      <c r="L16" s="120">
        <f>L15/$N$15</f>
        <v>0.2</v>
      </c>
      <c r="M16" s="121">
        <f>M15/$N$15</f>
        <v>0.12</v>
      </c>
      <c r="N16" s="122">
        <f>N15/$N$15</f>
        <v>1</v>
      </c>
    </row>
    <row r="17" spans="1:25" x14ac:dyDescent="0.3">
      <c r="B17" s="123"/>
      <c r="I17" s="2"/>
      <c r="O17" s="124"/>
    </row>
    <row r="18" spans="1:25" x14ac:dyDescent="0.3">
      <c r="A18" s="61" t="s">
        <v>81</v>
      </c>
      <c r="H18" s="61" t="s">
        <v>82</v>
      </c>
    </row>
    <row r="19" spans="1:25" x14ac:dyDescent="0.3">
      <c r="A19" s="125" t="s">
        <v>83</v>
      </c>
      <c r="B19" s="126"/>
      <c r="C19" s="126"/>
      <c r="D19" s="126"/>
      <c r="E19" s="127"/>
      <c r="H19" s="125" t="s">
        <v>83</v>
      </c>
      <c r="I19" s="126"/>
      <c r="J19" s="126"/>
      <c r="K19" s="126"/>
      <c r="L19" s="127"/>
      <c r="M19" s="348" t="s">
        <v>84</v>
      </c>
      <c r="N19" s="349"/>
      <c r="O19" s="349"/>
      <c r="P19" s="349"/>
      <c r="Q19" s="349"/>
      <c r="R19" s="349"/>
      <c r="S19" s="349"/>
      <c r="T19" s="349"/>
      <c r="U19" s="349"/>
      <c r="V19" s="349"/>
      <c r="W19" s="349"/>
      <c r="X19" s="349"/>
      <c r="Y19" s="350"/>
    </row>
    <row r="20" spans="1:25" ht="16.8" thickBot="1" x14ac:dyDescent="0.35">
      <c r="A20" s="128" t="s">
        <v>85</v>
      </c>
      <c r="B20" s="129"/>
      <c r="C20" s="130" t="s">
        <v>86</v>
      </c>
      <c r="D20" s="131" t="s">
        <v>68</v>
      </c>
      <c r="E20" s="132" t="s">
        <v>87</v>
      </c>
      <c r="H20" s="133" t="s">
        <v>85</v>
      </c>
      <c r="I20" s="134"/>
      <c r="J20" s="160" t="s">
        <v>88</v>
      </c>
      <c r="K20" s="131" t="s">
        <v>68</v>
      </c>
      <c r="L20" s="132" t="s">
        <v>87</v>
      </c>
      <c r="M20" s="351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3"/>
    </row>
    <row r="21" spans="1:25" ht="15" customHeight="1" thickBot="1" x14ac:dyDescent="0.35">
      <c r="A21" s="135" t="s">
        <v>89</v>
      </c>
      <c r="B21" s="136"/>
      <c r="C21" s="137">
        <v>85</v>
      </c>
      <c r="D21" s="138">
        <f>1-(C21/100)</f>
        <v>0.15000000000000002</v>
      </c>
      <c r="E21" s="139" t="s">
        <v>63</v>
      </c>
      <c r="H21" s="140" t="s">
        <v>15</v>
      </c>
      <c r="I21" s="176"/>
      <c r="J21" s="161">
        <v>80</v>
      </c>
      <c r="K21" s="162">
        <f>1-(J21/100)</f>
        <v>0.19999999999999996</v>
      </c>
      <c r="L21" s="163" t="s">
        <v>90</v>
      </c>
      <c r="M21" s="327" t="s">
        <v>91</v>
      </c>
      <c r="N21" s="327"/>
      <c r="O21" s="327"/>
      <c r="P21" s="327"/>
      <c r="Q21" s="327"/>
      <c r="R21" s="327"/>
      <c r="S21" s="327"/>
      <c r="T21" s="327"/>
      <c r="U21" s="327"/>
      <c r="V21" s="327"/>
      <c r="W21" s="327"/>
      <c r="X21" s="327"/>
      <c r="Y21" s="328"/>
    </row>
    <row r="22" spans="1:25" ht="15" thickBot="1" x14ac:dyDescent="0.35">
      <c r="A22" s="141" t="s">
        <v>92</v>
      </c>
      <c r="B22" s="142"/>
      <c r="C22" s="143">
        <v>75</v>
      </c>
      <c r="D22" s="144">
        <f>1-(C22/100)</f>
        <v>0.25</v>
      </c>
      <c r="E22" s="145" t="s">
        <v>64</v>
      </c>
      <c r="H22" s="146" t="s">
        <v>16</v>
      </c>
      <c r="I22" s="177"/>
      <c r="J22" s="164">
        <v>60</v>
      </c>
      <c r="K22" s="165">
        <f>1-(J22/100)</f>
        <v>0.4</v>
      </c>
      <c r="L22" s="166" t="s">
        <v>63</v>
      </c>
      <c r="M22" s="329"/>
      <c r="N22" s="329"/>
      <c r="O22" s="329"/>
      <c r="P22" s="329"/>
      <c r="Q22" s="329"/>
      <c r="R22" s="329"/>
      <c r="S22" s="329"/>
      <c r="T22" s="329"/>
      <c r="U22" s="329"/>
      <c r="V22" s="329"/>
      <c r="W22" s="329"/>
      <c r="X22" s="329"/>
      <c r="Y22" s="330"/>
    </row>
    <row r="23" spans="1:25" ht="15" thickBot="1" x14ac:dyDescent="0.35">
      <c r="A23" s="147"/>
      <c r="B23" s="2"/>
      <c r="C23" s="2"/>
      <c r="D23" s="2"/>
      <c r="E23" s="148"/>
      <c r="H23" s="149" t="s">
        <v>24</v>
      </c>
      <c r="I23" s="178"/>
      <c r="J23" s="167">
        <v>40</v>
      </c>
      <c r="K23" s="168">
        <f>1-(J23/100)</f>
        <v>0.6</v>
      </c>
      <c r="L23" s="169" t="s">
        <v>64</v>
      </c>
      <c r="M23" s="331"/>
      <c r="N23" s="331"/>
      <c r="O23" s="331"/>
      <c r="P23" s="331"/>
      <c r="Q23" s="331"/>
      <c r="R23" s="331"/>
      <c r="S23" s="331"/>
      <c r="T23" s="331"/>
      <c r="U23" s="331"/>
      <c r="V23" s="331"/>
      <c r="W23" s="331"/>
      <c r="X23" s="331"/>
      <c r="Y23" s="332"/>
    </row>
    <row r="24" spans="1:25" ht="15" customHeight="1" thickBot="1" x14ac:dyDescent="0.35">
      <c r="A24" s="147"/>
      <c r="B24" s="2"/>
      <c r="C24" s="2"/>
      <c r="D24" s="2"/>
      <c r="E24" s="148"/>
      <c r="H24" s="150" t="s">
        <v>17</v>
      </c>
      <c r="I24" s="179"/>
      <c r="J24" s="170">
        <v>20</v>
      </c>
      <c r="K24" s="171">
        <f>1-(J24/100)</f>
        <v>0.8</v>
      </c>
      <c r="L24" s="172" t="s">
        <v>65</v>
      </c>
      <c r="M24" s="333" t="s">
        <v>93</v>
      </c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4"/>
    </row>
    <row r="25" spans="1:25" ht="15" thickBot="1" x14ac:dyDescent="0.35">
      <c r="A25" s="151" t="s">
        <v>94</v>
      </c>
      <c r="B25" s="152"/>
      <c r="C25" s="153">
        <v>0</v>
      </c>
      <c r="D25" s="154">
        <f>1-(C25/100)</f>
        <v>1</v>
      </c>
      <c r="E25" s="155" t="s">
        <v>65</v>
      </c>
      <c r="H25" s="156" t="s">
        <v>95</v>
      </c>
      <c r="I25" s="180"/>
      <c r="J25" s="173">
        <v>0</v>
      </c>
      <c r="K25" s="174">
        <f>1-(J25/100)</f>
        <v>1</v>
      </c>
      <c r="L25" s="175" t="s">
        <v>96</v>
      </c>
      <c r="M25" s="335"/>
      <c r="N25" s="335"/>
      <c r="O25" s="335"/>
      <c r="P25" s="335"/>
      <c r="Q25" s="335"/>
      <c r="R25" s="335"/>
      <c r="S25" s="335"/>
      <c r="T25" s="335"/>
      <c r="U25" s="335"/>
      <c r="V25" s="335"/>
      <c r="W25" s="335"/>
      <c r="X25" s="335"/>
      <c r="Y25" s="336"/>
    </row>
    <row r="27" spans="1:25" ht="16.2" x14ac:dyDescent="0.3">
      <c r="A27" s="337" t="s">
        <v>97</v>
      </c>
      <c r="B27" s="338"/>
      <c r="C27" s="338"/>
      <c r="D27" s="338"/>
      <c r="E27" s="338"/>
      <c r="F27" s="338"/>
      <c r="G27" s="338"/>
      <c r="H27" s="338"/>
      <c r="I27" s="338"/>
      <c r="J27" s="338"/>
      <c r="K27" s="338"/>
      <c r="L27" s="338"/>
      <c r="M27" s="338"/>
      <c r="N27" s="338"/>
      <c r="O27" s="338"/>
      <c r="P27" s="338"/>
      <c r="Q27" s="338"/>
      <c r="R27" s="338"/>
      <c r="S27" s="338"/>
      <c r="T27" s="338"/>
      <c r="U27" s="339"/>
    </row>
  </sheetData>
  <sheetProtection password="D529" sheet="1" objects="1" scenarios="1"/>
  <mergeCells count="19">
    <mergeCell ref="M21:Y23"/>
    <mergeCell ref="M24:Y25"/>
    <mergeCell ref="A27:U27"/>
    <mergeCell ref="C12:E12"/>
    <mergeCell ref="A13:A14"/>
    <mergeCell ref="B13:B14"/>
    <mergeCell ref="A15:A16"/>
    <mergeCell ref="B15:B16"/>
    <mergeCell ref="M19:Y20"/>
    <mergeCell ref="A1:Y2"/>
    <mergeCell ref="A4:E4"/>
    <mergeCell ref="G6:G10"/>
    <mergeCell ref="P6:Q7"/>
    <mergeCell ref="R6:W6"/>
    <mergeCell ref="I7:I8"/>
    <mergeCell ref="J8:K8"/>
    <mergeCell ref="R8:W8"/>
    <mergeCell ref="J10:N13"/>
    <mergeCell ref="A12:B1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41AF6-9753-4C6E-9309-6C11658BF95C}">
  <sheetPr codeName="Plan4"/>
  <dimension ref="B1:P33"/>
  <sheetViews>
    <sheetView showGridLines="0" showRowColHeaders="0" workbookViewId="0">
      <selection activeCell="J12" sqref="J12:L12"/>
    </sheetView>
  </sheetViews>
  <sheetFormatPr defaultRowHeight="14.4" x14ac:dyDescent="0.3"/>
  <cols>
    <col min="6" max="6" width="12.44140625" customWidth="1"/>
    <col min="7" max="7" width="11.109375" customWidth="1"/>
    <col min="8" max="8" width="10" customWidth="1"/>
    <col min="13" max="13" width="9.109375" style="40" customWidth="1"/>
    <col min="15" max="15" width="9.109375" style="42" customWidth="1"/>
  </cols>
  <sheetData>
    <row r="1" spans="2:16" ht="15" thickBot="1" x14ac:dyDescent="0.35"/>
    <row r="2" spans="2:16" ht="22.2" thickBot="1" x14ac:dyDescent="0.5">
      <c r="B2" s="377" t="s">
        <v>31</v>
      </c>
      <c r="C2" s="378"/>
      <c r="D2" s="378"/>
      <c r="E2" s="378"/>
      <c r="F2" s="378"/>
      <c r="G2" s="378"/>
      <c r="H2" s="379"/>
      <c r="J2" s="377" t="s">
        <v>32</v>
      </c>
      <c r="K2" s="378"/>
      <c r="L2" s="378"/>
      <c r="M2" s="378"/>
      <c r="N2" s="378"/>
      <c r="O2" s="378"/>
      <c r="P2" s="379"/>
    </row>
    <row r="3" spans="2:16" ht="15" thickBot="1" x14ac:dyDescent="0.35">
      <c r="B3" s="22"/>
      <c r="C3" s="23"/>
      <c r="D3" s="23"/>
      <c r="E3" s="23"/>
      <c r="F3" s="23"/>
      <c r="G3" s="23"/>
      <c r="H3" s="24"/>
      <c r="J3" s="22"/>
      <c r="K3" s="23"/>
      <c r="L3" s="23"/>
      <c r="M3" s="41"/>
      <c r="N3" s="23"/>
      <c r="O3" s="43"/>
      <c r="P3" s="24"/>
    </row>
    <row r="4" spans="2:16" ht="15.75" customHeight="1" thickBot="1" x14ac:dyDescent="0.35">
      <c r="B4" s="1"/>
      <c r="C4" s="2"/>
      <c r="D4" s="2"/>
      <c r="E4" s="10" t="s">
        <v>20</v>
      </c>
      <c r="F4" s="10" t="s">
        <v>23</v>
      </c>
      <c r="G4" s="10" t="s">
        <v>11</v>
      </c>
      <c r="H4" s="25"/>
      <c r="J4" s="1"/>
      <c r="K4" s="2"/>
      <c r="L4" s="2"/>
      <c r="M4" s="39" t="s">
        <v>20</v>
      </c>
      <c r="N4" s="35" t="s">
        <v>23</v>
      </c>
      <c r="O4" s="35" t="s">
        <v>11</v>
      </c>
      <c r="P4" s="25"/>
    </row>
    <row r="5" spans="2:16" ht="30.75" customHeight="1" thickBot="1" x14ac:dyDescent="0.35">
      <c r="B5" s="380" t="s">
        <v>106</v>
      </c>
      <c r="C5" s="381"/>
      <c r="D5" s="382"/>
      <c r="E5" s="9">
        <f>COUNTIF('MAR e Definição de escopo'!$H$5:$H$50, B5)</f>
        <v>0</v>
      </c>
      <c r="F5" s="9">
        <v>100</v>
      </c>
      <c r="G5" s="9">
        <f>F5*E5</f>
        <v>0</v>
      </c>
      <c r="H5" s="383" t="s">
        <v>22</v>
      </c>
      <c r="J5" s="380" t="s">
        <v>106</v>
      </c>
      <c r="K5" s="381"/>
      <c r="L5" s="382"/>
      <c r="M5" s="13">
        <f>COUNTIF('MAR e Definição de escopo'!$K$5:$K$50,J5)</f>
        <v>0</v>
      </c>
      <c r="N5" s="37">
        <v>100</v>
      </c>
      <c r="O5" s="37">
        <f>N5*M5</f>
        <v>0</v>
      </c>
      <c r="P5" s="383" t="s">
        <v>22</v>
      </c>
    </row>
    <row r="6" spans="2:16" ht="30.75" customHeight="1" thickBot="1" x14ac:dyDescent="0.35">
      <c r="B6" s="380" t="s">
        <v>107</v>
      </c>
      <c r="C6" s="381"/>
      <c r="D6" s="382"/>
      <c r="E6" s="9">
        <f>COUNTIF('MAR e Definição de escopo'!$H$5:$H$50, B6)</f>
        <v>0</v>
      </c>
      <c r="F6" s="8">
        <v>80</v>
      </c>
      <c r="G6" s="8">
        <f>F6*E6</f>
        <v>0</v>
      </c>
      <c r="H6" s="384"/>
      <c r="J6" s="380" t="s">
        <v>107</v>
      </c>
      <c r="K6" s="381"/>
      <c r="L6" s="382"/>
      <c r="M6" s="13">
        <f>COUNTIF('MAR e Definição de escopo'!$K$5:$K$50,J6)</f>
        <v>0</v>
      </c>
      <c r="N6" s="37">
        <v>80</v>
      </c>
      <c r="O6" s="37">
        <f t="shared" ref="O6:O32" si="0">N6*M6</f>
        <v>0</v>
      </c>
      <c r="P6" s="384"/>
    </row>
    <row r="7" spans="2:16" ht="15" thickBot="1" x14ac:dyDescent="0.35">
      <c r="B7" s="385" t="s">
        <v>35</v>
      </c>
      <c r="C7" s="386"/>
      <c r="D7" s="387"/>
      <c r="E7" s="9">
        <f>COUNTIF('MAR e Definição de escopo'!$H$5:$H$50, B7)</f>
        <v>0</v>
      </c>
      <c r="F7" s="8">
        <v>64</v>
      </c>
      <c r="G7" s="8">
        <f>F7*E7</f>
        <v>0</v>
      </c>
      <c r="H7" s="384"/>
      <c r="J7" s="385" t="s">
        <v>35</v>
      </c>
      <c r="K7" s="386"/>
      <c r="L7" s="387"/>
      <c r="M7" s="13">
        <f>COUNTIF('MAR e Definição de escopo'!$K$5:$K$50,J7)</f>
        <v>0</v>
      </c>
      <c r="N7" s="37">
        <v>64</v>
      </c>
      <c r="O7" s="37">
        <f t="shared" si="0"/>
        <v>0</v>
      </c>
      <c r="P7" s="384"/>
    </row>
    <row r="8" spans="2:16" ht="25.5" customHeight="1" thickBot="1" x14ac:dyDescent="0.35">
      <c r="B8" s="385" t="s">
        <v>108</v>
      </c>
      <c r="C8" s="386"/>
      <c r="D8" s="387"/>
      <c r="E8" s="9">
        <f>COUNTIF('MAR e Definição de escopo'!$H$5:$H$50, B8)</f>
        <v>0</v>
      </c>
      <c r="F8" s="8">
        <v>50</v>
      </c>
      <c r="G8" s="8">
        <f>F8*E8</f>
        <v>0</v>
      </c>
      <c r="H8" s="384"/>
      <c r="J8" s="385" t="s">
        <v>34</v>
      </c>
      <c r="K8" s="386"/>
      <c r="L8" s="387"/>
      <c r="M8" s="13">
        <f>COUNTIF('MAR e Definição de escopo'!$K$5:$K$50,J8)</f>
        <v>0</v>
      </c>
      <c r="N8" s="37">
        <v>60</v>
      </c>
      <c r="O8" s="37">
        <f t="shared" si="0"/>
        <v>0</v>
      </c>
      <c r="P8" s="384"/>
    </row>
    <row r="9" spans="2:16" ht="16.5" customHeight="1" thickBot="1" x14ac:dyDescent="0.35">
      <c r="B9" s="388" t="s">
        <v>39</v>
      </c>
      <c r="C9" s="389"/>
      <c r="D9" s="390"/>
      <c r="E9" s="9">
        <f>COUNTIF('MAR e Definição de escopo'!$H$5:$H$50, B9)</f>
        <v>0</v>
      </c>
      <c r="F9" s="8">
        <v>40</v>
      </c>
      <c r="G9" s="29">
        <f>F9*E9</f>
        <v>0</v>
      </c>
      <c r="H9" s="34" t="e">
        <f>(G19/E19)</f>
        <v>#DIV/0!</v>
      </c>
      <c r="J9" s="371" t="s">
        <v>36</v>
      </c>
      <c r="K9" s="372"/>
      <c r="L9" s="373"/>
      <c r="M9" s="13">
        <f>COUNTIF('MAR e Definição de escopo'!$K$5:$K$50,J9)</f>
        <v>0</v>
      </c>
      <c r="N9" s="37">
        <v>51</v>
      </c>
      <c r="O9" s="37">
        <f t="shared" si="0"/>
        <v>0</v>
      </c>
      <c r="P9" s="44" t="e">
        <f>O33/M33</f>
        <v>#DIV/0!</v>
      </c>
    </row>
    <row r="10" spans="2:16" ht="18.75" customHeight="1" x14ac:dyDescent="0.3">
      <c r="B10" s="359" t="s">
        <v>110</v>
      </c>
      <c r="C10" s="360"/>
      <c r="D10" s="361"/>
      <c r="E10" s="9">
        <f>COUNTIF('MAR e Definição de escopo'!$H$5:$H$50, B10)</f>
        <v>0</v>
      </c>
      <c r="F10" s="8">
        <v>25</v>
      </c>
      <c r="G10" s="29">
        <f t="shared" ref="G10:G18" si="1">F10*E10</f>
        <v>0</v>
      </c>
      <c r="H10" s="31"/>
      <c r="J10" s="371" t="s">
        <v>108</v>
      </c>
      <c r="K10" s="372"/>
      <c r="L10" s="373"/>
      <c r="M10" s="13">
        <f>COUNTIF('MAR e Definição de escopo'!$K$5:$K$50,J10)</f>
        <v>0</v>
      </c>
      <c r="N10" s="37">
        <v>50</v>
      </c>
      <c r="O10" s="37">
        <f t="shared" si="0"/>
        <v>0</v>
      </c>
      <c r="P10" s="2"/>
    </row>
    <row r="11" spans="2:16" x14ac:dyDescent="0.3">
      <c r="B11" s="359" t="s">
        <v>28</v>
      </c>
      <c r="C11" s="360"/>
      <c r="D11" s="361"/>
      <c r="E11" s="9">
        <f>COUNTIF('MAR e Definição de escopo'!$H$5:$H$50, B11)</f>
        <v>0</v>
      </c>
      <c r="F11" s="8">
        <v>20</v>
      </c>
      <c r="G11" s="29">
        <f t="shared" si="1"/>
        <v>0</v>
      </c>
      <c r="H11" s="32"/>
      <c r="J11" s="371" t="s">
        <v>47</v>
      </c>
      <c r="K11" s="372"/>
      <c r="L11" s="373"/>
      <c r="M11" s="13">
        <f>COUNTIF('MAR e Definição de escopo'!$K$5:$K$50,J11)</f>
        <v>0</v>
      </c>
      <c r="N11" s="37">
        <v>48</v>
      </c>
      <c r="O11" s="37">
        <f t="shared" si="0"/>
        <v>0</v>
      </c>
      <c r="P11" s="23"/>
    </row>
    <row r="12" spans="2:16" x14ac:dyDescent="0.3">
      <c r="B12" s="359" t="s">
        <v>40</v>
      </c>
      <c r="C12" s="360"/>
      <c r="D12" s="361"/>
      <c r="E12" s="9">
        <f>COUNTIF('MAR e Definição de escopo'!$H$5:$H$50, B12)</f>
        <v>0</v>
      </c>
      <c r="F12" s="8">
        <v>16</v>
      </c>
      <c r="G12" s="29">
        <f t="shared" si="1"/>
        <v>0</v>
      </c>
      <c r="H12" s="32"/>
      <c r="J12" s="371" t="s">
        <v>39</v>
      </c>
      <c r="K12" s="372"/>
      <c r="L12" s="373"/>
      <c r="M12" s="13">
        <f>COUNTIF('MAR e Definição de escopo'!$K$5:$K$50,J12)</f>
        <v>0</v>
      </c>
      <c r="N12" s="37">
        <v>40</v>
      </c>
      <c r="O12" s="37">
        <f t="shared" si="0"/>
        <v>0</v>
      </c>
      <c r="P12" s="23"/>
    </row>
    <row r="13" spans="2:16" x14ac:dyDescent="0.3">
      <c r="B13" s="359" t="s">
        <v>38</v>
      </c>
      <c r="C13" s="360"/>
      <c r="D13" s="361"/>
      <c r="E13" s="9">
        <f>COUNTIF('MAR e Definição de escopo'!$H$5:$H$50, B13)</f>
        <v>0</v>
      </c>
      <c r="F13" s="8">
        <v>10</v>
      </c>
      <c r="G13" s="29">
        <f t="shared" si="1"/>
        <v>0</v>
      </c>
      <c r="H13" s="31"/>
      <c r="J13" s="362" t="s">
        <v>37</v>
      </c>
      <c r="K13" s="363"/>
      <c r="L13" s="364"/>
      <c r="M13" s="13">
        <f>COUNTIF('MAR e Definição de escopo'!$K$5:$K$50,J13)</f>
        <v>0</v>
      </c>
      <c r="N13" s="37">
        <v>38</v>
      </c>
      <c r="O13" s="37">
        <f t="shared" si="0"/>
        <v>0</v>
      </c>
      <c r="P13" s="2"/>
    </row>
    <row r="14" spans="2:16" x14ac:dyDescent="0.3">
      <c r="B14" s="391" t="s">
        <v>46</v>
      </c>
      <c r="C14" s="392"/>
      <c r="D14" s="393"/>
      <c r="E14" s="9">
        <f>COUNTIF('MAR e Definição de escopo'!$H$5:$H$50, B14)</f>
        <v>0</v>
      </c>
      <c r="F14" s="8">
        <v>8</v>
      </c>
      <c r="G14" s="29">
        <f t="shared" si="1"/>
        <v>0</v>
      </c>
      <c r="H14" s="31"/>
      <c r="J14" s="374" t="s">
        <v>33</v>
      </c>
      <c r="K14" s="375"/>
      <c r="L14" s="376"/>
      <c r="M14" s="13">
        <f>COUNTIF('MAR e Definição de escopo'!$K$5:$K$50,J14)</f>
        <v>0</v>
      </c>
      <c r="N14" s="37">
        <v>32</v>
      </c>
      <c r="O14" s="37">
        <f t="shared" si="0"/>
        <v>0</v>
      </c>
      <c r="P14" s="2"/>
    </row>
    <row r="15" spans="2:16" x14ac:dyDescent="0.3">
      <c r="B15" s="391" t="s">
        <v>109</v>
      </c>
      <c r="C15" s="392"/>
      <c r="D15" s="393"/>
      <c r="E15" s="9">
        <f>COUNTIF('MAR e Definição de escopo'!$H$5:$H$50, B15)</f>
        <v>0</v>
      </c>
      <c r="F15" s="8">
        <v>5</v>
      </c>
      <c r="G15" s="29">
        <f t="shared" si="1"/>
        <v>0</v>
      </c>
      <c r="H15" s="31"/>
      <c r="J15" s="374" t="s">
        <v>111</v>
      </c>
      <c r="K15" s="375"/>
      <c r="L15" s="376"/>
      <c r="M15" s="13">
        <f>COUNTIF('MAR e Definição de escopo'!$K$5:$K$50,J15)</f>
        <v>0</v>
      </c>
      <c r="N15" s="37">
        <v>30</v>
      </c>
      <c r="O15" s="37">
        <f t="shared" si="0"/>
        <v>0</v>
      </c>
      <c r="P15" s="2"/>
    </row>
    <row r="16" spans="2:16" x14ac:dyDescent="0.3">
      <c r="B16" s="368" t="s">
        <v>41</v>
      </c>
      <c r="C16" s="369"/>
      <c r="D16" s="370"/>
      <c r="E16" s="9">
        <f>COUNTIF('MAR e Definição de escopo'!$H$5:$H$50, B16)</f>
        <v>0</v>
      </c>
      <c r="F16" s="8">
        <v>4</v>
      </c>
      <c r="G16" s="29">
        <f t="shared" si="1"/>
        <v>0</v>
      </c>
      <c r="H16" s="31"/>
      <c r="J16" s="356" t="s">
        <v>30</v>
      </c>
      <c r="K16" s="357"/>
      <c r="L16" s="358"/>
      <c r="M16" s="13">
        <f>COUNTIF('MAR e Definição de escopo'!$K$5:$K$50,J16)</f>
        <v>0</v>
      </c>
      <c r="N16" s="37">
        <v>26</v>
      </c>
      <c r="O16" s="37">
        <f t="shared" si="0"/>
        <v>0</v>
      </c>
      <c r="P16" s="2"/>
    </row>
    <row r="17" spans="2:16" x14ac:dyDescent="0.3">
      <c r="B17" s="391" t="s">
        <v>42</v>
      </c>
      <c r="C17" s="392"/>
      <c r="D17" s="393"/>
      <c r="E17" s="9">
        <f>COUNTIF('MAR e Definição de escopo'!$H$5:$H$50, B17)</f>
        <v>0</v>
      </c>
      <c r="F17" s="8">
        <v>2</v>
      </c>
      <c r="G17" s="29">
        <f t="shared" si="1"/>
        <v>0</v>
      </c>
      <c r="H17" s="31"/>
      <c r="J17" s="356" t="s">
        <v>110</v>
      </c>
      <c r="K17" s="357"/>
      <c r="L17" s="358"/>
      <c r="M17" s="13">
        <f>COUNTIF('MAR e Definição de escopo'!$K$5:$K$50,J17)</f>
        <v>0</v>
      </c>
      <c r="N17" s="37">
        <v>25</v>
      </c>
      <c r="O17" s="37">
        <f t="shared" si="0"/>
        <v>0</v>
      </c>
      <c r="P17" s="2"/>
    </row>
    <row r="18" spans="2:16" ht="15" thickBot="1" x14ac:dyDescent="0.35">
      <c r="B18" s="391" t="s">
        <v>43</v>
      </c>
      <c r="C18" s="392"/>
      <c r="D18" s="393"/>
      <c r="E18" s="9">
        <f>COUNTIF('MAR e Definição de escopo'!$H$5:$H$50, B18)</f>
        <v>0</v>
      </c>
      <c r="F18" s="8">
        <v>1</v>
      </c>
      <c r="G18" s="29">
        <f t="shared" si="1"/>
        <v>0</v>
      </c>
      <c r="H18" s="31"/>
      <c r="J18" s="356" t="s">
        <v>29</v>
      </c>
      <c r="K18" s="357"/>
      <c r="L18" s="358"/>
      <c r="M18" s="13">
        <f>COUNTIF('MAR e Definição de escopo'!$K$5:$K$50,J18)</f>
        <v>0</v>
      </c>
      <c r="N18" s="37">
        <v>24</v>
      </c>
      <c r="O18" s="37">
        <f t="shared" si="0"/>
        <v>0</v>
      </c>
      <c r="P18" s="2"/>
    </row>
    <row r="19" spans="2:16" ht="15" thickBot="1" x14ac:dyDescent="0.35">
      <c r="B19" s="26"/>
      <c r="C19" s="27"/>
      <c r="D19" s="12" t="s">
        <v>21</v>
      </c>
      <c r="E19" s="11">
        <f>SUM(E5:E18)</f>
        <v>0</v>
      </c>
      <c r="F19" s="28"/>
      <c r="G19" s="30">
        <f>SUM(G5:G18)</f>
        <v>0</v>
      </c>
      <c r="H19" s="33"/>
      <c r="J19" s="356" t="s">
        <v>28</v>
      </c>
      <c r="K19" s="357"/>
      <c r="L19" s="358"/>
      <c r="M19" s="13">
        <f>COUNTIF('MAR e Definição de escopo'!$K$5:$K$50,J19)</f>
        <v>0</v>
      </c>
      <c r="N19" s="37">
        <v>20</v>
      </c>
      <c r="O19" s="37">
        <f t="shared" si="0"/>
        <v>0</v>
      </c>
      <c r="P19" s="2"/>
    </row>
    <row r="20" spans="2:16" x14ac:dyDescent="0.3">
      <c r="B20" s="2"/>
      <c r="C20" s="2"/>
      <c r="D20" s="59"/>
      <c r="E20" s="7"/>
      <c r="F20" s="7"/>
      <c r="G20" s="58"/>
      <c r="H20" s="2"/>
      <c r="J20" s="356" t="s">
        <v>40</v>
      </c>
      <c r="K20" s="357"/>
      <c r="L20" s="358"/>
      <c r="M20" s="13">
        <f>COUNTIF('MAR e Definição de escopo'!$K$5:$K$50,J20)</f>
        <v>0</v>
      </c>
      <c r="N20" s="37">
        <v>16</v>
      </c>
      <c r="O20" s="37">
        <f t="shared" si="0"/>
        <v>0</v>
      </c>
      <c r="P20" s="2"/>
    </row>
    <row r="21" spans="2:16" x14ac:dyDescent="0.3">
      <c r="B21" s="2"/>
      <c r="C21" s="2"/>
      <c r="D21" s="59"/>
      <c r="E21" s="7"/>
      <c r="F21" s="7"/>
      <c r="G21" s="58"/>
      <c r="H21" s="2"/>
      <c r="J21" s="356" t="s">
        <v>112</v>
      </c>
      <c r="K21" s="357"/>
      <c r="L21" s="358"/>
      <c r="M21" s="13">
        <f>COUNTIF('MAR e Definição de escopo'!$K$5:$K$50,J21)</f>
        <v>0</v>
      </c>
      <c r="N21" s="37">
        <v>15</v>
      </c>
      <c r="O21" s="37">
        <f t="shared" si="0"/>
        <v>0</v>
      </c>
      <c r="P21" s="2"/>
    </row>
    <row r="22" spans="2:16" x14ac:dyDescent="0.3">
      <c r="J22" s="356" t="s">
        <v>48</v>
      </c>
      <c r="K22" s="357"/>
      <c r="L22" s="358"/>
      <c r="M22" s="13">
        <f>COUNTIF('MAR e Definição de escopo'!$K$5:$K$50,J22)</f>
        <v>0</v>
      </c>
      <c r="N22" s="37">
        <v>13</v>
      </c>
      <c r="O22" s="37">
        <f t="shared" si="0"/>
        <v>0</v>
      </c>
    </row>
    <row r="23" spans="2:16" x14ac:dyDescent="0.3">
      <c r="J23" s="365" t="s">
        <v>49</v>
      </c>
      <c r="K23" s="366"/>
      <c r="L23" s="367"/>
      <c r="M23" s="13">
        <f>COUNTIF('MAR e Definição de escopo'!$K$5:$K$50,J23)</f>
        <v>0</v>
      </c>
      <c r="N23" s="37">
        <v>12</v>
      </c>
      <c r="O23" s="37">
        <f t="shared" si="0"/>
        <v>0</v>
      </c>
    </row>
    <row r="24" spans="2:16" x14ac:dyDescent="0.3">
      <c r="J24" s="365" t="s">
        <v>38</v>
      </c>
      <c r="K24" s="366"/>
      <c r="L24" s="367"/>
      <c r="M24" s="13">
        <f>COUNTIF('MAR e Definição de escopo'!$K$5:$K$50,J24)</f>
        <v>0</v>
      </c>
      <c r="N24" s="37">
        <v>10</v>
      </c>
      <c r="O24" s="37">
        <f t="shared" si="0"/>
        <v>0</v>
      </c>
    </row>
    <row r="25" spans="2:16" x14ac:dyDescent="0.3">
      <c r="J25" s="354" t="s">
        <v>98</v>
      </c>
      <c r="K25" s="355"/>
      <c r="L25" s="355"/>
      <c r="M25" s="13">
        <f>COUNTIF('MAR e Definição de escopo'!$K$5:$K$50,J25)</f>
        <v>0</v>
      </c>
      <c r="N25" s="37">
        <v>8</v>
      </c>
      <c r="O25" s="37">
        <f t="shared" si="0"/>
        <v>0</v>
      </c>
    </row>
    <row r="26" spans="2:16" x14ac:dyDescent="0.3">
      <c r="J26" s="354" t="s">
        <v>99</v>
      </c>
      <c r="K26" s="355"/>
      <c r="L26" s="355"/>
      <c r="M26" s="13">
        <f>COUNTIF('MAR e Definição de escopo'!$K$5:$K$50,J26)</f>
        <v>0</v>
      </c>
      <c r="N26" s="37">
        <v>6</v>
      </c>
      <c r="O26" s="37">
        <f t="shared" si="0"/>
        <v>0</v>
      </c>
    </row>
    <row r="27" spans="2:16" x14ac:dyDescent="0.3">
      <c r="J27" s="354" t="s">
        <v>113</v>
      </c>
      <c r="K27" s="355"/>
      <c r="L27" s="355"/>
      <c r="M27" s="13">
        <f>COUNTIF('MAR e Definição de escopo'!$K$5:$K$50,J27)</f>
        <v>0</v>
      </c>
      <c r="N27" s="37">
        <v>5</v>
      </c>
      <c r="O27" s="37">
        <f t="shared" si="0"/>
        <v>0</v>
      </c>
    </row>
    <row r="28" spans="2:16" x14ac:dyDescent="0.3">
      <c r="J28" s="354" t="s">
        <v>100</v>
      </c>
      <c r="K28" s="355"/>
      <c r="L28" s="355"/>
      <c r="M28" s="13">
        <f>COUNTIF('MAR e Definição de escopo'!$K$5:$K$50,J28)</f>
        <v>0</v>
      </c>
      <c r="N28" s="37">
        <v>4</v>
      </c>
      <c r="O28" s="37">
        <f t="shared" si="0"/>
        <v>0</v>
      </c>
    </row>
    <row r="29" spans="2:16" x14ac:dyDescent="0.3">
      <c r="J29" s="354" t="s">
        <v>101</v>
      </c>
      <c r="K29" s="355"/>
      <c r="L29" s="355"/>
      <c r="M29" s="13">
        <f>COUNTIF('MAR e Definição de escopo'!$K$5:$K$50,J29)</f>
        <v>0</v>
      </c>
      <c r="N29" s="37">
        <v>3</v>
      </c>
      <c r="O29" s="37">
        <f t="shared" si="0"/>
        <v>0</v>
      </c>
    </row>
    <row r="30" spans="2:16" x14ac:dyDescent="0.3">
      <c r="J30" s="354" t="s">
        <v>102</v>
      </c>
      <c r="K30" s="355"/>
      <c r="L30" s="355"/>
      <c r="M30" s="13">
        <f>COUNTIF('MAR e Definição de escopo'!$K$5:$K$50,J30)</f>
        <v>0</v>
      </c>
      <c r="N30" s="37">
        <v>2</v>
      </c>
      <c r="O30" s="37">
        <f t="shared" si="0"/>
        <v>0</v>
      </c>
    </row>
    <row r="31" spans="2:16" x14ac:dyDescent="0.3">
      <c r="J31" s="354" t="s">
        <v>103</v>
      </c>
      <c r="K31" s="355"/>
      <c r="L31" s="355"/>
      <c r="M31" s="13">
        <f>COUNTIF('MAR e Definição de escopo'!$K$5:$K$50,J31)</f>
        <v>0</v>
      </c>
      <c r="N31" s="37">
        <v>1</v>
      </c>
      <c r="O31" s="37">
        <f t="shared" si="0"/>
        <v>0</v>
      </c>
    </row>
    <row r="32" spans="2:16" ht="15" thickBot="1" x14ac:dyDescent="0.35">
      <c r="J32" s="354" t="s">
        <v>104</v>
      </c>
      <c r="K32" s="355"/>
      <c r="L32" s="355"/>
      <c r="M32" s="13">
        <f>COUNTIF('MAR e Definição de escopo'!$K$5:$K$50,J32)</f>
        <v>0</v>
      </c>
      <c r="N32" s="13">
        <v>0</v>
      </c>
      <c r="O32" s="37">
        <f t="shared" si="0"/>
        <v>0</v>
      </c>
    </row>
    <row r="33" spans="10:15" ht="15" thickBot="1" x14ac:dyDescent="0.35">
      <c r="J33" s="26"/>
      <c r="K33" s="27"/>
      <c r="L33" s="36" t="s">
        <v>21</v>
      </c>
      <c r="M33" s="13">
        <f>SUM(M5:M32)</f>
        <v>0</v>
      </c>
      <c r="N33" s="38"/>
      <c r="O33" s="37">
        <f>SUM(O5:O32)</f>
        <v>0</v>
      </c>
    </row>
  </sheetData>
  <sheetProtection password="D529" sheet="1"/>
  <mergeCells count="46">
    <mergeCell ref="B2:H2"/>
    <mergeCell ref="B15:D15"/>
    <mergeCell ref="B17:D17"/>
    <mergeCell ref="B18:D18"/>
    <mergeCell ref="B12:D12"/>
    <mergeCell ref="B13:D13"/>
    <mergeCell ref="B10:D10"/>
    <mergeCell ref="J27:L27"/>
    <mergeCell ref="B9:D9"/>
    <mergeCell ref="H5:H8"/>
    <mergeCell ref="B5:D5"/>
    <mergeCell ref="B6:D6"/>
    <mergeCell ref="B7:D7"/>
    <mergeCell ref="B8:D8"/>
    <mergeCell ref="B14:D14"/>
    <mergeCell ref="J15:L15"/>
    <mergeCell ref="J16:L16"/>
    <mergeCell ref="J8:L8"/>
    <mergeCell ref="J32:L32"/>
    <mergeCell ref="J9:L9"/>
    <mergeCell ref="J25:L25"/>
    <mergeCell ref="J11:L11"/>
    <mergeCell ref="J22:L22"/>
    <mergeCell ref="J28:L28"/>
    <mergeCell ref="J29:L29"/>
    <mergeCell ref="J30:L30"/>
    <mergeCell ref="J31:L31"/>
    <mergeCell ref="J10:L10"/>
    <mergeCell ref="J17:L17"/>
    <mergeCell ref="J21:L21"/>
    <mergeCell ref="J14:L14"/>
    <mergeCell ref="J2:P2"/>
    <mergeCell ref="J5:L5"/>
    <mergeCell ref="P5:P8"/>
    <mergeCell ref="J6:L6"/>
    <mergeCell ref="J7:L7"/>
    <mergeCell ref="J19:L19"/>
    <mergeCell ref="J26:L26"/>
    <mergeCell ref="J18:L18"/>
    <mergeCell ref="B11:D11"/>
    <mergeCell ref="J13:L13"/>
    <mergeCell ref="J24:L24"/>
    <mergeCell ref="J20:L20"/>
    <mergeCell ref="B16:D16"/>
    <mergeCell ref="J23:L23"/>
    <mergeCell ref="J12:L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DF8CB26EC06C47AD1BC2CFC188FF99" ma:contentTypeVersion="5" ma:contentTypeDescription="Criar um novo documento." ma:contentTypeScope="" ma:versionID="8a3cb9a5fbc9145b6aabbe400dd60311">
  <xsd:schema xmlns:xsd="http://www.w3.org/2001/XMLSchema" xmlns:xs="http://www.w3.org/2001/XMLSchema" xmlns:p="http://schemas.microsoft.com/office/2006/metadata/properties" xmlns:ns2="33bb3ea1-683b-42f9-aba1-bf4d9d881615" xmlns:ns3="68823227-5c43-4263-81a8-37c45fc8486a" targetNamespace="http://schemas.microsoft.com/office/2006/metadata/properties" ma:root="true" ma:fieldsID="0164d3d3565e86cd4b9b3c2bcc192dfa" ns2:_="" ns3:_="">
    <xsd:import namespace="33bb3ea1-683b-42f9-aba1-bf4d9d881615"/>
    <xsd:import namespace="68823227-5c43-4263-81a8-37c45fc848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b3ea1-683b-42f9-aba1-bf4d9d8816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823227-5c43-4263-81a8-37c45fc8486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ED2074-2CD4-4218-A4B7-337515C64F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9108D8-FEBD-4F8B-A03B-31C084477B63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8C8B96FC-D0C0-48BE-AAA4-10CCD77E0B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bb3ea1-683b-42f9-aba1-bf4d9d881615"/>
    <ds:schemaRef ds:uri="68823227-5c43-4263-81a8-37c45fc848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3563F5B-49FD-479A-BE0D-A975EB5ACABF}">
  <ds:schemaRefs>
    <ds:schemaRef ds:uri="33bb3ea1-683b-42f9-aba1-bf4d9d881615"/>
    <ds:schemaRef ds:uri="http://purl.org/dc/dcmitype/"/>
    <ds:schemaRef ds:uri="http://schemas.microsoft.com/office/2006/documentManagement/types"/>
    <ds:schemaRef ds:uri="68823227-5c43-4263-81a8-37c45fc8486a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Identificação de Riscos</vt:lpstr>
      <vt:lpstr>MAR e Definição de escopo</vt:lpstr>
      <vt:lpstr>Tabelas</vt:lpstr>
      <vt:lpstr>Elementos MARA_TCU</vt:lpstr>
      <vt:lpstr>Nota Matriz de Risco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de Riscos para Definição de Escopo</dc:title>
  <dc:creator>Arnaldo Ribeiro Gomes</dc:creator>
  <dc:description>V. 2</dc:description>
  <cp:lastModifiedBy>Ícaro Pontes Azevedo Aguiar</cp:lastModifiedBy>
  <cp:revision>1</cp:revision>
  <cp:lastPrinted>2017-04-26T19:52:51Z</cp:lastPrinted>
  <dcterms:created xsi:type="dcterms:W3CDTF">2010-02-24T14:49:24Z</dcterms:created>
  <dcterms:modified xsi:type="dcterms:W3CDTF">2025-04-17T14:29:52Z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Documento</vt:lpwstr>
  </property>
  <property fmtid="{D5CDD505-2E9C-101B-9397-08002B2CF9AE}" pid="3" name="Descrição">
    <vt:lpwstr/>
  </property>
  <property fmtid="{D5CDD505-2E9C-101B-9397-08002B2CF9AE}" pid="4" name="Editor">
    <vt:lpwstr>Arnaldo Ribeiro Gomes</vt:lpwstr>
  </property>
  <property fmtid="{D5CDD505-2E9C-101B-9397-08002B2CF9AE}" pid="5" name="Tipo de documento">
    <vt:lpwstr>3</vt:lpwstr>
  </property>
</Properties>
</file>